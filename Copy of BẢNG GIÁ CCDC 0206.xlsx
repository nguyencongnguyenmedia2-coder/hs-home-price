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E9BE0E7-C57B-4ACF-8185-485F7C0D2CE7}" xr6:coauthVersionLast="47" xr6:coauthVersionMax="47" xr10:uidLastSave="{00000000-0000-0000-0000-000000000000}"/>
  <bookViews>
    <workbookView xWindow="-120" yWindow="-120" windowWidth="29040" windowHeight="15840" tabRatio="939" activeTab="4" xr2:uid="{00000000-000D-0000-FFFF-FFFF00000000}"/>
  </bookViews>
  <sheets>
    <sheet name="NLMT" sheetId="3" r:id="rId1"/>
    <sheet name="BỒN" sheetId="1" r:id="rId2"/>
    <sheet name="BỂ PHỐT - van đồng" sheetId="24" r:id="rId3"/>
    <sheet name="VÍT" sheetId="9" r:id="rId4"/>
    <sheet name="SILICON" sheetId="12" r:id="rId5"/>
    <sheet name="SKL" sheetId="11" r:id="rId6"/>
    <sheet name="Sơn xịt" sheetId="25" r:id="rId7"/>
    <sheet name="Que hàn" sheetId="21" r:id="rId8"/>
    <sheet name="CÁCH NHIỆT" sheetId="5" r:id="rId9"/>
    <sheet name="LẤY SÁNG" sheetId="7" r:id="rId10"/>
    <sheet name="SIEMENS" sheetId="27" r:id="rId11"/>
    <sheet name="ĐÈN ĐIỆN" sheetId="16" r:id="rId12"/>
    <sheet name="TMX" sheetId="8" r:id="rId13"/>
    <sheet name="CHỐNG THẤM" sheetId="13" r:id="rId14"/>
    <sheet name="LUSFIX" sheetId="15" r:id="rId15"/>
    <sheet name="CTOC" sheetId="18" r:id="rId16"/>
    <sheet name="MÁY, CCDC LUSFIX" sheetId="28" r:id="rId17"/>
  </sheets>
  <definedNames>
    <definedName name="_xlnm.Print_Area" localSheetId="2">'BỂ PHỐT - van đồng'!$A$1:$J$19</definedName>
    <definedName name="_xlnm.Print_Area" localSheetId="1">BỒN!$A$1:$I$50</definedName>
    <definedName name="_xlnm.Print_Area" localSheetId="8">'CÁCH NHIỆT'!$A$1:$K$7</definedName>
    <definedName name="_xlnm.Print_Area" localSheetId="13">'CHỐNG THẤM'!$A$1:$I$12</definedName>
    <definedName name="_xlnm.Print_Area" localSheetId="15">CTOC!$A$1:$K$51</definedName>
    <definedName name="_xlnm.Print_Area" localSheetId="11">'ĐÈN ĐIỆN'!$A$1:$J$48</definedName>
    <definedName name="_xlnm.Print_Area" localSheetId="9">'LẤY SÁNG'!$A$1:$I$11</definedName>
    <definedName name="_xlnm.Print_Area" localSheetId="14">LUSFIX!$A$1:$J$13</definedName>
    <definedName name="_xlnm.Print_Area" localSheetId="16">'MÁY, CCDC LUSFIX'!$A$1:$H$29</definedName>
    <definedName name="_xlnm.Print_Area" localSheetId="0">NLMT!$A$1:$I$16</definedName>
    <definedName name="_xlnm.Print_Area" localSheetId="7">'Que hàn'!$A$1:$P$21</definedName>
    <definedName name="_xlnm.Print_Area" localSheetId="10">SIEMENS!$A$1:$G$22</definedName>
    <definedName name="_xlnm.Print_Area" localSheetId="4">SILICON!$A$1:$J$10</definedName>
    <definedName name="_xlnm.Print_Area" localSheetId="5">SKL!$A$1:$I$11</definedName>
    <definedName name="_xlnm.Print_Area" localSheetId="6">'Sơn xịt'!$A$1:$J$7</definedName>
    <definedName name="_xlnm.Print_Area" localSheetId="12">TMX!$A$1:$L$19</definedName>
    <definedName name="_xlnm.Print_Area" localSheetId="3">VÍT!$A$1:$O$11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5" l="1"/>
  <c r="G9" i="11"/>
  <c r="F8" i="11"/>
  <c r="G7" i="11"/>
  <c r="I6" i="11"/>
  <c r="N12" i="21"/>
  <c r="K13" i="21"/>
  <c r="K12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I10" i="21"/>
  <c r="I11" i="21"/>
  <c r="I12" i="21"/>
  <c r="I13" i="21"/>
  <c r="I14" i="21"/>
  <c r="K14" i="21" s="1"/>
  <c r="I15" i="21"/>
  <c r="K15" i="21" s="1"/>
  <c r="I16" i="21"/>
  <c r="K16" i="21" s="1"/>
  <c r="I17" i="21"/>
  <c r="I18" i="21"/>
  <c r="I19" i="21"/>
  <c r="I20" i="21"/>
  <c r="I9" i="21"/>
  <c r="O6" i="21"/>
  <c r="P6" i="21"/>
  <c r="P7" i="21"/>
  <c r="O7" i="21" s="1"/>
  <c r="P8" i="21"/>
  <c r="O8" i="21" s="1"/>
  <c r="N6" i="21"/>
  <c r="M6" i="21"/>
  <c r="L6" i="21"/>
  <c r="L7" i="21"/>
  <c r="M7" i="21" s="1"/>
  <c r="N7" i="21" s="1"/>
  <c r="L8" i="21"/>
  <c r="M8" i="21" s="1"/>
  <c r="N8" i="21" s="1"/>
  <c r="K6" i="21"/>
  <c r="J6" i="21"/>
  <c r="I6" i="21"/>
  <c r="I7" i="21"/>
  <c r="J7" i="21" s="1"/>
  <c r="K7" i="21" s="1"/>
  <c r="I8" i="21"/>
  <c r="J8" i="21" s="1"/>
  <c r="K8" i="21" s="1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3" i="16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" i="2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3" i="18"/>
  <c r="J11" i="15"/>
  <c r="J12" i="15"/>
  <c r="J10" i="15"/>
  <c r="I11" i="15"/>
  <c r="I12" i="15"/>
  <c r="I10" i="15"/>
  <c r="H12" i="15"/>
  <c r="H11" i="15"/>
  <c r="H10" i="15"/>
  <c r="G12" i="15"/>
  <c r="G11" i="15"/>
  <c r="G10" i="15"/>
  <c r="J4" i="15"/>
  <c r="J5" i="15"/>
  <c r="J6" i="15"/>
  <c r="J3" i="15"/>
  <c r="I4" i="15"/>
  <c r="I5" i="15"/>
  <c r="I6" i="15"/>
  <c r="I3" i="15"/>
  <c r="H4" i="15"/>
  <c r="H5" i="15"/>
  <c r="H6" i="15"/>
  <c r="H3" i="15"/>
  <c r="G4" i="15"/>
  <c r="G5" i="15"/>
  <c r="G6" i="15"/>
  <c r="G3" i="15"/>
  <c r="I8" i="13"/>
  <c r="I9" i="13"/>
  <c r="I10" i="13"/>
  <c r="I11" i="13"/>
  <c r="I12" i="13"/>
  <c r="I7" i="13"/>
  <c r="H8" i="13"/>
  <c r="H9" i="13"/>
  <c r="H10" i="13"/>
  <c r="H11" i="13"/>
  <c r="H12" i="13"/>
  <c r="H7" i="13"/>
  <c r="G8" i="13"/>
  <c r="G9" i="13"/>
  <c r="G10" i="13"/>
  <c r="G11" i="13"/>
  <c r="G12" i="13"/>
  <c r="G7" i="13"/>
  <c r="F8" i="13"/>
  <c r="F9" i="13"/>
  <c r="F10" i="13"/>
  <c r="F11" i="13"/>
  <c r="F12" i="13"/>
  <c r="F7" i="13"/>
  <c r="I4" i="13"/>
  <c r="I5" i="13"/>
  <c r="I6" i="13"/>
  <c r="I3" i="13"/>
  <c r="H4" i="13"/>
  <c r="H5" i="13"/>
  <c r="H6" i="13"/>
  <c r="H3" i="13"/>
  <c r="G4" i="13"/>
  <c r="G5" i="13"/>
  <c r="G6" i="13"/>
  <c r="G3" i="13"/>
  <c r="F4" i="13"/>
  <c r="F5" i="13"/>
  <c r="F6" i="13"/>
  <c r="F3" i="13"/>
  <c r="F47" i="16"/>
  <c r="I47" i="16"/>
  <c r="H47" i="16"/>
  <c r="G47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29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3" i="16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3" i="27"/>
  <c r="I4" i="7"/>
  <c r="I5" i="7"/>
  <c r="I6" i="7"/>
  <c r="I7" i="7"/>
  <c r="I8" i="7"/>
  <c r="I9" i="7"/>
  <c r="I10" i="7"/>
  <c r="I3" i="7"/>
  <c r="H4" i="7"/>
  <c r="H5" i="7"/>
  <c r="H6" i="7"/>
  <c r="H7" i="7"/>
  <c r="H8" i="7"/>
  <c r="H9" i="7"/>
  <c r="H10" i="7"/>
  <c r="H3" i="7"/>
  <c r="G4" i="7"/>
  <c r="G5" i="7"/>
  <c r="G6" i="7"/>
  <c r="G7" i="7"/>
  <c r="G8" i="7"/>
  <c r="G9" i="7"/>
  <c r="G10" i="7"/>
  <c r="G3" i="7"/>
  <c r="F4" i="7"/>
  <c r="F5" i="7"/>
  <c r="F6" i="7"/>
  <c r="F7" i="7"/>
  <c r="F8" i="7"/>
  <c r="F9" i="7"/>
  <c r="F10" i="7"/>
  <c r="F3" i="7"/>
  <c r="J4" i="25"/>
  <c r="J5" i="25"/>
  <c r="J6" i="25"/>
  <c r="J7" i="25"/>
  <c r="J3" i="25"/>
  <c r="I4" i="25"/>
  <c r="I5" i="25"/>
  <c r="I6" i="25"/>
  <c r="I7" i="25"/>
  <c r="H4" i="25"/>
  <c r="H5" i="25"/>
  <c r="H6" i="25"/>
  <c r="H7" i="25"/>
  <c r="H3" i="25"/>
  <c r="G4" i="25"/>
  <c r="G5" i="25"/>
  <c r="G6" i="25"/>
  <c r="G7" i="25"/>
  <c r="G3" i="25"/>
  <c r="I4" i="11"/>
  <c r="I5" i="11"/>
  <c r="I7" i="11"/>
  <c r="I8" i="11"/>
  <c r="I10" i="11"/>
  <c r="I11" i="11"/>
  <c r="I3" i="11"/>
  <c r="H4" i="11"/>
  <c r="H5" i="11"/>
  <c r="H7" i="11"/>
  <c r="H9" i="11"/>
  <c r="H10" i="11"/>
  <c r="H11" i="11"/>
  <c r="H3" i="11"/>
  <c r="G4" i="11"/>
  <c r="G5" i="11"/>
  <c r="G6" i="11"/>
  <c r="G10" i="11"/>
  <c r="G11" i="11"/>
  <c r="G3" i="11"/>
  <c r="F4" i="11"/>
  <c r="F5" i="11"/>
  <c r="F10" i="11"/>
  <c r="F11" i="11"/>
  <c r="F3" i="11"/>
  <c r="J4" i="12"/>
  <c r="J5" i="12"/>
  <c r="J6" i="12"/>
  <c r="J7" i="12"/>
  <c r="J8" i="12"/>
  <c r="J9" i="12"/>
  <c r="J10" i="12"/>
  <c r="J3" i="12"/>
  <c r="I4" i="12"/>
  <c r="I5" i="12"/>
  <c r="I6" i="12"/>
  <c r="I7" i="12"/>
  <c r="I8" i="12"/>
  <c r="I9" i="12"/>
  <c r="I10" i="12"/>
  <c r="I3" i="12"/>
  <c r="H4" i="12"/>
  <c r="H5" i="12"/>
  <c r="H6" i="12"/>
  <c r="H7" i="12"/>
  <c r="H8" i="12"/>
  <c r="H9" i="12"/>
  <c r="H10" i="12"/>
  <c r="H3" i="12"/>
  <c r="G4" i="12"/>
  <c r="G5" i="12"/>
  <c r="G6" i="12"/>
  <c r="G7" i="12"/>
  <c r="G8" i="12"/>
  <c r="G9" i="12"/>
  <c r="G10" i="12"/>
  <c r="G3" i="12"/>
  <c r="O4" i="9"/>
  <c r="O5" i="9"/>
  <c r="O6" i="9"/>
  <c r="O7" i="9"/>
  <c r="O8" i="9"/>
  <c r="O9" i="9"/>
  <c r="O10" i="9"/>
  <c r="O11" i="9"/>
  <c r="O3" i="9"/>
  <c r="N3" i="9" s="1"/>
  <c r="L4" i="9"/>
  <c r="L5" i="9"/>
  <c r="L6" i="9"/>
  <c r="L7" i="9"/>
  <c r="L8" i="9"/>
  <c r="L9" i="9"/>
  <c r="L10" i="9"/>
  <c r="L11" i="9"/>
  <c r="L3" i="9"/>
  <c r="J4" i="9"/>
  <c r="J5" i="9"/>
  <c r="J6" i="9"/>
  <c r="J7" i="9"/>
  <c r="J8" i="9"/>
  <c r="J9" i="9"/>
  <c r="J10" i="9"/>
  <c r="J11" i="9"/>
  <c r="J3" i="9"/>
  <c r="H4" i="9"/>
  <c r="H5" i="9"/>
  <c r="H6" i="9"/>
  <c r="H7" i="9"/>
  <c r="H8" i="9"/>
  <c r="H9" i="9"/>
  <c r="H10" i="9"/>
  <c r="H11" i="9"/>
  <c r="H3" i="9"/>
  <c r="H10" i="24"/>
  <c r="H11" i="24"/>
  <c r="H12" i="24"/>
  <c r="H13" i="24"/>
  <c r="H14" i="24"/>
  <c r="H15" i="24"/>
  <c r="H16" i="24"/>
  <c r="H17" i="24"/>
  <c r="H18" i="24"/>
  <c r="H19" i="24"/>
  <c r="H9" i="24"/>
  <c r="G10" i="24"/>
  <c r="G11" i="24"/>
  <c r="G12" i="24"/>
  <c r="G13" i="24"/>
  <c r="G14" i="24"/>
  <c r="G15" i="24"/>
  <c r="G16" i="24"/>
  <c r="G17" i="24"/>
  <c r="G18" i="24"/>
  <c r="G19" i="24"/>
  <c r="G9" i="24"/>
  <c r="F10" i="24"/>
  <c r="F11" i="24"/>
  <c r="F12" i="24"/>
  <c r="F13" i="24"/>
  <c r="F14" i="24"/>
  <c r="F15" i="24"/>
  <c r="F16" i="24"/>
  <c r="F17" i="24"/>
  <c r="F18" i="24"/>
  <c r="F19" i="24"/>
  <c r="F9" i="24"/>
  <c r="J4" i="24"/>
  <c r="J5" i="24"/>
  <c r="J3" i="24"/>
  <c r="H4" i="24"/>
  <c r="H5" i="24"/>
  <c r="H3" i="24"/>
  <c r="G4" i="24"/>
  <c r="G5" i="24"/>
  <c r="G3" i="24"/>
  <c r="F4" i="24"/>
  <c r="F5" i="24"/>
  <c r="F3" i="24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30" i="1"/>
  <c r="I20" i="1"/>
  <c r="I21" i="1"/>
  <c r="I22" i="1"/>
  <c r="I23" i="1"/>
  <c r="I24" i="1"/>
  <c r="I25" i="1"/>
  <c r="I26" i="1"/>
  <c r="I19" i="1"/>
  <c r="H20" i="1"/>
  <c r="H21" i="1"/>
  <c r="H22" i="1"/>
  <c r="H23" i="1"/>
  <c r="H24" i="1"/>
  <c r="H25" i="1"/>
  <c r="H26" i="1"/>
  <c r="H19" i="1"/>
  <c r="G20" i="1"/>
  <c r="G21" i="1"/>
  <c r="G22" i="1"/>
  <c r="G23" i="1"/>
  <c r="G24" i="1"/>
  <c r="G25" i="1"/>
  <c r="G26" i="1"/>
  <c r="G19" i="1"/>
  <c r="F20" i="1"/>
  <c r="F21" i="1"/>
  <c r="F22" i="1"/>
  <c r="F23" i="1"/>
  <c r="F24" i="1"/>
  <c r="F25" i="1"/>
  <c r="F26" i="1"/>
  <c r="F19" i="1"/>
  <c r="I4" i="3"/>
  <c r="I5" i="3"/>
  <c r="I6" i="3"/>
  <c r="I7" i="3"/>
  <c r="I8" i="3"/>
  <c r="I3" i="3"/>
  <c r="F7" i="11" l="1"/>
  <c r="G8" i="11"/>
  <c r="F6" i="11"/>
  <c r="H8" i="11"/>
  <c r="I9" i="11"/>
  <c r="H6" i="11"/>
  <c r="F9" i="11"/>
  <c r="I4" i="1"/>
  <c r="I5" i="1"/>
  <c r="I6" i="1"/>
  <c r="I7" i="1"/>
  <c r="I8" i="1"/>
  <c r="I9" i="1"/>
  <c r="I10" i="1"/>
  <c r="I11" i="1"/>
  <c r="I12" i="1"/>
  <c r="I13" i="1"/>
  <c r="I14" i="1"/>
  <c r="I15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K4" i="5"/>
  <c r="K5" i="5"/>
  <c r="K6" i="5"/>
  <c r="K7" i="5"/>
  <c r="K3" i="5"/>
  <c r="H4" i="5"/>
  <c r="H5" i="5"/>
  <c r="H6" i="5"/>
  <c r="H7" i="5"/>
  <c r="H3" i="5"/>
  <c r="G4" i="5"/>
  <c r="G5" i="5"/>
  <c r="G6" i="5"/>
  <c r="G7" i="5"/>
  <c r="G3" i="5"/>
  <c r="F4" i="5"/>
  <c r="F5" i="5"/>
  <c r="F6" i="5"/>
  <c r="F7" i="5"/>
  <c r="F3" i="5"/>
  <c r="L15" i="8"/>
  <c r="L16" i="8"/>
  <c r="L17" i="8"/>
  <c r="L18" i="8"/>
  <c r="L14" i="8"/>
  <c r="K15" i="8"/>
  <c r="K16" i="8"/>
  <c r="K17" i="8"/>
  <c r="K18" i="8"/>
  <c r="K14" i="8"/>
  <c r="J15" i="8"/>
  <c r="J16" i="8"/>
  <c r="J17" i="8"/>
  <c r="J18" i="8"/>
  <c r="J14" i="8"/>
  <c r="I15" i="8"/>
  <c r="I16" i="8"/>
  <c r="I17" i="8"/>
  <c r="I18" i="8"/>
  <c r="I14" i="8"/>
  <c r="L4" i="8"/>
  <c r="L5" i="8"/>
  <c r="L6" i="8"/>
  <c r="L7" i="8"/>
  <c r="L8" i="8"/>
  <c r="L9" i="8"/>
  <c r="L10" i="8"/>
  <c r="L3" i="8"/>
  <c r="I3" i="8"/>
  <c r="J3" i="8"/>
  <c r="K3" i="8"/>
  <c r="I5" i="8"/>
  <c r="I6" i="8"/>
  <c r="I7" i="8"/>
  <c r="I8" i="8"/>
  <c r="I9" i="8"/>
  <c r="I10" i="8"/>
  <c r="I4" i="8"/>
  <c r="J4" i="8"/>
  <c r="J5" i="8"/>
  <c r="J6" i="8"/>
  <c r="J7" i="8"/>
  <c r="J8" i="8"/>
  <c r="J9" i="8"/>
  <c r="J10" i="8"/>
  <c r="K4" i="8" l="1"/>
  <c r="K5" i="8"/>
  <c r="K6" i="8"/>
  <c r="K7" i="8"/>
  <c r="K8" i="8"/>
  <c r="K9" i="8"/>
  <c r="K10" i="8"/>
  <c r="P4" i="21"/>
  <c r="O4" i="21" s="1"/>
  <c r="P3" i="21"/>
  <c r="O3" i="21" s="1"/>
  <c r="I4" i="21"/>
  <c r="J4" i="21" s="1"/>
  <c r="K4" i="21" s="1"/>
  <c r="I5" i="21"/>
  <c r="J5" i="21" s="1"/>
  <c r="K5" i="21" s="1"/>
  <c r="I3" i="21"/>
  <c r="J3" i="21" s="1"/>
  <c r="K3" i="21" s="1"/>
  <c r="L4" i="21"/>
  <c r="M4" i="21" s="1"/>
  <c r="N4" i="21" s="1"/>
  <c r="L5" i="21"/>
  <c r="M5" i="21" s="1"/>
  <c r="N5" i="21" s="1"/>
  <c r="L3" i="21"/>
  <c r="M3" i="21" s="1"/>
  <c r="N3" i="21" s="1"/>
  <c r="P5" i="21"/>
  <c r="G4" i="3" l="1"/>
  <c r="G5" i="3"/>
  <c r="G6" i="3"/>
  <c r="G7" i="3"/>
  <c r="G8" i="3"/>
  <c r="G3" i="3"/>
  <c r="F3" i="3"/>
  <c r="F4" i="3"/>
  <c r="F5" i="3"/>
  <c r="F6" i="3"/>
  <c r="F7" i="3"/>
  <c r="F8" i="3"/>
  <c r="F12" i="15"/>
  <c r="F11" i="15"/>
  <c r="F10" i="15"/>
  <c r="I5" i="5"/>
  <c r="I6" i="5"/>
  <c r="I10" i="9"/>
  <c r="I49" i="1" l="1"/>
  <c r="I48" i="1"/>
  <c r="I47" i="1"/>
  <c r="O5" i="21" l="1"/>
  <c r="F4" i="21"/>
  <c r="F5" i="21"/>
  <c r="F3" i="21"/>
  <c r="M4" i="9" l="1"/>
  <c r="M5" i="9"/>
  <c r="M6" i="9"/>
  <c r="M7" i="9"/>
  <c r="M8" i="9"/>
  <c r="M9" i="9"/>
  <c r="M10" i="9"/>
  <c r="M11" i="9"/>
  <c r="M3" i="9"/>
  <c r="K4" i="9"/>
  <c r="K5" i="9"/>
  <c r="K6" i="9"/>
  <c r="K7" i="9"/>
  <c r="K8" i="9"/>
  <c r="K9" i="9"/>
  <c r="K10" i="9"/>
  <c r="K11" i="9"/>
  <c r="K3" i="9"/>
  <c r="I4" i="9"/>
  <c r="I5" i="9"/>
  <c r="I6" i="9"/>
  <c r="I7" i="9"/>
  <c r="I8" i="9"/>
  <c r="I9" i="9"/>
  <c r="I11" i="9"/>
  <c r="I3" i="9"/>
  <c r="N10" i="9"/>
  <c r="N5" i="9"/>
  <c r="N11" i="9"/>
  <c r="N9" i="9"/>
  <c r="N8" i="9"/>
  <c r="N7" i="9"/>
  <c r="N6" i="9"/>
  <c r="N4" i="9"/>
  <c r="I4" i="5"/>
  <c r="I3" i="5"/>
  <c r="J6" i="5"/>
  <c r="J5" i="5"/>
  <c r="J4" i="5"/>
  <c r="J3" i="5"/>
  <c r="I15" i="3"/>
  <c r="I14" i="3"/>
  <c r="I13" i="3"/>
  <c r="I12" i="3"/>
  <c r="I11" i="3"/>
  <c r="I10" i="3"/>
  <c r="I9" i="3"/>
</calcChain>
</file>

<file path=xl/sharedStrings.xml><?xml version="1.0" encoding="utf-8"?>
<sst xmlns="http://schemas.openxmlformats.org/spreadsheetml/2006/main" count="862" uniqueCount="394">
  <si>
    <t>500L - 760mm</t>
  </si>
  <si>
    <t>Bộ</t>
  </si>
  <si>
    <t>1000L - 935mm</t>
  </si>
  <si>
    <t>1500L - 1140mm</t>
  </si>
  <si>
    <t>2000L - 1140 mm</t>
  </si>
  <si>
    <t>3000L - 1380mm</t>
  </si>
  <si>
    <t>5000L - 1380mm</t>
  </si>
  <si>
    <t>BỒN NƯỚC VNVIE</t>
  </si>
  <si>
    <t>Bộ bồn nước
Luswell VNVIE đứng</t>
  </si>
  <si>
    <t>Bộ bồn nước
Luswell VNVIE ngang</t>
  </si>
  <si>
    <t>KHÁCH SỈ</t>
  </si>
  <si>
    <t>THẦU THỢ</t>
  </si>
  <si>
    <t>KHÁCH LẺ</t>
  </si>
  <si>
    <t>GIÁ BÁN MẪU</t>
  </si>
  <si>
    <t>GIÁ NIÊM YẾT 
Chưa VAT</t>
  </si>
  <si>
    <t>Bộ máy nước nóng NLMT 
LusWell VNVIE ống trơn</t>
  </si>
  <si>
    <t>Bộ máy nước nóng NLMT 
LusWell VNDAI I304</t>
  </si>
  <si>
    <t>12 ống: 130L</t>
  </si>
  <si>
    <t>15 ống: 160L</t>
  </si>
  <si>
    <t>18 ống: 180L</t>
  </si>
  <si>
    <t>20 ống: 200L</t>
  </si>
  <si>
    <t>24 ống: 240L</t>
  </si>
  <si>
    <t>30 ống: 300L</t>
  </si>
  <si>
    <t>12 ống: 120L</t>
  </si>
  <si>
    <t>14 ống: 140L</t>
  </si>
  <si>
    <t>16 ống: 160L</t>
  </si>
  <si>
    <t>BỒN NƯỚC NHỰA VNVIE</t>
  </si>
  <si>
    <t>BỒN NƯỚC INOX VNVIE</t>
  </si>
  <si>
    <t>Bồn nước nhựa 
Luswell VNVIE đứng</t>
  </si>
  <si>
    <t>500L - 775mm</t>
  </si>
  <si>
    <t>Cái</t>
  </si>
  <si>
    <t>1000L - 1010mm</t>
  </si>
  <si>
    <t>1500L - 1215mm</t>
  </si>
  <si>
    <t>2000L - 1310 mm</t>
  </si>
  <si>
    <t>3000L - 1490mm</t>
  </si>
  <si>
    <t>5000L - 1750mm</t>
  </si>
  <si>
    <t>500L - 780mm</t>
  </si>
  <si>
    <t>1000L - 960mm</t>
  </si>
  <si>
    <t>TẤM CÁCH NHIỆT</t>
  </si>
  <si>
    <t>Tấm cách nhiệt LusWell VNWIN P2: 4mmx1.55m</t>
  </si>
  <si>
    <t>Tấm cách nhiệt LusWell VNWIN P2: 4mmx1.1m</t>
  </si>
  <si>
    <t>Tấm cách nhiệt LusWell VNWIN AP: 4mmx1.55m</t>
  </si>
  <si>
    <t>Tấm cách nhiệt LusWell VNWIN A2: 4mmx1.55m</t>
  </si>
  <si>
    <t>Băng keo hai mặt chuyên dụng LusWell VNWIN: 0.05mx40m</t>
  </si>
  <si>
    <t>M2</t>
  </si>
  <si>
    <t>Cuộn</t>
  </si>
  <si>
    <t>KHÁCH SỈ THEO CUỘN</t>
  </si>
  <si>
    <t>GIÁ BÁN MẪU THEO CUỘN</t>
  </si>
  <si>
    <t>Tấm nhựa lấy sáng LUSWELL VNTHA CPS: 0.60mmx1070mm</t>
  </si>
  <si>
    <t>Tấm nhựa lấy sáng LUSWELL VNTHA CPS: 0.80mmx1070mm</t>
  </si>
  <si>
    <t>Tấm nhựa lấy sáng LUSWELL VNTHA CPS: 1.00mmx1070mm</t>
  </si>
  <si>
    <t>Tấm nhựa lấy sáng LUSWELL VNTHA CPS: 1.20mmx1070mm</t>
  </si>
  <si>
    <t>Tấm nhựa lấy sáng LUSWELL VNTHA CPS: 1.50mmx1070mm</t>
  </si>
  <si>
    <t>Tấm nhựa lấy sáng LUSWELL VNTHA CPS: 2.00mmx1070mm</t>
  </si>
  <si>
    <t>Tấm nhựa lấy sáng LUSWELL VNTHA CPS: 2.50mmx1070mm</t>
  </si>
  <si>
    <t>Tấm nhựa lấy sáng LUSWELL VNTHA CPS: 3.00mmx1070mm</t>
  </si>
  <si>
    <t>Tấm nhựa lấy sáng LUSWELL</t>
  </si>
  <si>
    <t>Mét</t>
  </si>
  <si>
    <t>TẤM NHỰA LẤY SÁNG</t>
  </si>
  <si>
    <t>TẤM XI MĂNG CEMBOARD LUSWELL CNSAN</t>
  </si>
  <si>
    <t>2440mmx1220mmx6.00mm</t>
  </si>
  <si>
    <t>2440mmx1220mmx8.00mm</t>
  </si>
  <si>
    <t>2440mmx1220mmx10.00mm</t>
  </si>
  <si>
    <t>2440mmx1220mmx12.00mm</t>
  </si>
  <si>
    <t>2440mmx1220mmx14.00mm</t>
  </si>
  <si>
    <t>2440mmx1220mmx16.00mm</t>
  </si>
  <si>
    <t>2440mmx1220mmx18.00mm</t>
  </si>
  <si>
    <t>2440mmx1220mmx20.00mm</t>
  </si>
  <si>
    <t>Tấm</t>
  </si>
  <si>
    <t>TẤM XI MĂNG CNSAN</t>
  </si>
  <si>
    <t>TẤM XI MĂNG THDIA</t>
  </si>
  <si>
    <t xml:space="preserve"> Tấm xi măng Cemboard LusWell THDIA</t>
  </si>
  <si>
    <t>Vít bắn ngói</t>
  </si>
  <si>
    <t>Vít bắn TXM</t>
  </si>
  <si>
    <t>Vít LUSWELL MAX VNSHE: 45mm</t>
  </si>
  <si>
    <t>Vít LUSWELL MAX VNSHE: 50mm</t>
  </si>
  <si>
    <t>Vít LUSWELL CNHEB: 45mm</t>
  </si>
  <si>
    <t>Vít LUSWELL CNHEB: 50mm</t>
  </si>
  <si>
    <t>Vít ngói LusWell CNHEB: 65mm</t>
  </si>
  <si>
    <t>Vít bắn tấm xi măng LUSWELL CNHEB: 30mm</t>
  </si>
  <si>
    <t>Vít bắn tấm xi măng LUSWELL CNHEB: 40mm</t>
  </si>
  <si>
    <t>Con</t>
  </si>
  <si>
    <t>QUY CÁCH</t>
  </si>
  <si>
    <t>Con/Hộp</t>
  </si>
  <si>
    <t>GIÁ NIÊM YẾT /con
Chưa VAT</t>
  </si>
  <si>
    <t>GIÁ BÁN MẪU/con</t>
  </si>
  <si>
    <t>GIÁ BÁN MẪU/HỘP</t>
  </si>
  <si>
    <t>KHÁCH SỈ/con</t>
  </si>
  <si>
    <t>KHÁCH SỈ/Hộp</t>
  </si>
  <si>
    <t>Hộp/ Thùng</t>
  </si>
  <si>
    <t>THẦU THỢ/con</t>
  </si>
  <si>
    <t>THẦU THỢ/hộp</t>
  </si>
  <si>
    <t>KHÁCH LẺ/hộp</t>
  </si>
  <si>
    <t>VÍT LUSWELL</t>
  </si>
  <si>
    <t>Quy cách</t>
  </si>
  <si>
    <t>Kg/Tấm</t>
  </si>
  <si>
    <t>Tấm/Kiện ngang</t>
  </si>
  <si>
    <t>Tấm/Kiện dọc</t>
  </si>
  <si>
    <t>Sơn thép mạ kẽm LUSCOAT VNRON 1TP hệ màu thường (bao gồm màu nhũ trắng/ nhũ bạc)</t>
  </si>
  <si>
    <t>0.75ML</t>
  </si>
  <si>
    <t>2,6L</t>
  </si>
  <si>
    <t>17L</t>
  </si>
  <si>
    <t>Lon</t>
  </si>
  <si>
    <t>Thùng</t>
  </si>
  <si>
    <t>Long</t>
  </si>
  <si>
    <t>SƠN KIM LOẠI LUSCOAT</t>
  </si>
  <si>
    <t>Keo silicone Acid màu trắng LUSCOAT CNSYI: 0.3L</t>
  </si>
  <si>
    <t>Keo silicone Acid màu trắng trong LUSCOAT CNSYI: 0.3L</t>
  </si>
  <si>
    <t>Keo silicone Acid màu đen LUSCOAT CNSYI: 0.3L</t>
  </si>
  <si>
    <t>Keo silicone Acid màu xám xingfa LUSCOAT CNSYI: 0.3L</t>
  </si>
  <si>
    <t>Keo silicone Oxime màu trắng LUSCOAT CNSYI: 0.3L</t>
  </si>
  <si>
    <t>Keo silicone Oxime màu trắng trong LUSCOAT CNSYI: 0.3L</t>
  </si>
  <si>
    <t>Keo silicone Oxime màu đen LUSCOAT CNSYI: 0.3L</t>
  </si>
  <si>
    <t>Keo silicone Oxime màu xám xingfa LUSCOAT CNSYI: 0.3L</t>
  </si>
  <si>
    <t>Dung tích</t>
  </si>
  <si>
    <t>ĐVT</t>
  </si>
  <si>
    <t>0,3L</t>
  </si>
  <si>
    <t>CHAI</t>
  </si>
  <si>
    <t>AXIT A300</t>
  </si>
  <si>
    <t>TRUNG TÍNH A500</t>
  </si>
  <si>
    <t>Chất chống thấm pha xi măng sàn LUSCOAT VNDON</t>
  </si>
  <si>
    <t>Chất chống thấm pha xi măng tường LUSCOAT VNDON</t>
  </si>
  <si>
    <t>5KG</t>
  </si>
  <si>
    <t>20KG</t>
  </si>
  <si>
    <t>THÙNG</t>
  </si>
  <si>
    <t>CHỐNG THẤM LUSCOAT</t>
  </si>
  <si>
    <t>SILICON LUSCOAT</t>
  </si>
  <si>
    <t>Xe rùa bánh hơi WB6400A LUSFIX CNYIC: 150kgx67lít</t>
  </si>
  <si>
    <t>Xe rùa bánh đặc WB6400PU LUSFIX CNYIC: 150kgx67lít</t>
  </si>
  <si>
    <t>Xe rùa bánh hơi WB6418A LUSFIX CNYIC: 150kgx85lít</t>
  </si>
  <si>
    <t>Xe rùa bánh đặc WB6418PU LUSFIX CNYIC: 150kgx85lít</t>
  </si>
  <si>
    <t>67 LIT</t>
  </si>
  <si>
    <t>CHIẾC</t>
  </si>
  <si>
    <t>85 LIT</t>
  </si>
  <si>
    <t>XE RÙA LUSFIX</t>
  </si>
  <si>
    <t>Đèn Led Bulb (trụ nhựa, đuôi E27) LBP-3T LUSCOM CNYAN: 3W ánh sáng trắng</t>
  </si>
  <si>
    <t>Đèn Led Bulb (trụ nhựa, đuôi E27) LBP-5T LUSCOM CNYAN: 5W ánh sáng trắng</t>
  </si>
  <si>
    <t>Đèn Led Bulb (trụ nhựa, đuôi E27) LBP-7T LUSCOM CNYAN: 7W ánh sáng trắng</t>
  </si>
  <si>
    <t>Đèn Led Bulb (trụ nhựa, đuôi E27) LBP-9T LUSCOM CNYAN: 9W ánh sáng trắng</t>
  </si>
  <si>
    <t>Đèn Led Bulb (trụ nhựa, đuôi E27) LBP-9V LUSCOM CNYAN: 9W ánh sáng vàng</t>
  </si>
  <si>
    <t>Đèn Led Bulb (trụ nhựa, đuôi E27) LBP-12T LUSCOM CNYAN: 12W ánh sáng trắng</t>
  </si>
  <si>
    <t>Đèn Led Bulb (trụ nhựa, đuôi E27) LBP-15T LUSCOM CNYAN: 15W ánh sáng trắng</t>
  </si>
  <si>
    <t>Đèn Led Bulb (trụ nhựa, đuôi E27) LBP-20T LUSCOM CNYAN: 20W ánh sáng trắng</t>
  </si>
  <si>
    <t>Đèn Led Bulb (trụ nhựa, đuôi E27) LBP-20V LUSCOM CNYAN: 20W ánh sáng vàng</t>
  </si>
  <si>
    <t>Đèn Led Bulb (trụ nhựa, đuôi E27) LBP-30T LUSCOM CNYAN: 30W ánh sáng trắng</t>
  </si>
  <si>
    <t>Đèn Led Bulb (trụ nhựa, đuôi E27) LBP-30V LUSCOM CNYAN: 30W ánh sáng vàng</t>
  </si>
  <si>
    <t>Đèn Led Bulb (trụ nhựa, đuôi E27) LBP-40T LUSCOM CNYAN: 40W ánh sáng trắng</t>
  </si>
  <si>
    <t>Đèn Led Bulb (trụ nhựa, đuôi E27) LBP-40V LUSCOM CNYAN: 40W ánh sáng vàng</t>
  </si>
  <si>
    <t>Đèn Led Bulb (trụ nhựa, đuôi E27) LBP-50T LUSCOM CNYAN: 50W ánh sáng trắng</t>
  </si>
  <si>
    <t>Đèn Led Bulb (trụ nhựa, đuôi E27) LBP-50V LUSCOM CNYAN: 50W ánh sáng vàng</t>
  </si>
  <si>
    <t>Đèn Led Bulb (trụ nhôm, đuôi E27) LBN-30T LUSCOM CNYAN: 30W ánh sáng trắng</t>
  </si>
  <si>
    <t>Đèn Led Bulb (trụ nhôm, đuôi E27) LBN-30V LUSCOM CNYAN: 30W ánh sáng vàng</t>
  </si>
  <si>
    <t>Đèn Led Bulb (trụ nhôm, đuôi E27) LBN-40T LUSCOM CNYAN: 40W ánh sáng trắng</t>
  </si>
  <si>
    <t>Đèn Led Bulb (trụ nhôm, đuôi E27) LBN-40V LUSCOM CNYAN: 40W ánh sáng vàng</t>
  </si>
  <si>
    <t>Đèn Led Bulb (trụ nhôm, đuôi E27) LBN-50T LUSCOM CNYAN: 50W ánh sáng trắng</t>
  </si>
  <si>
    <t>Đèn Led Bulb (trụ nhôm, đuôi E27) LBN-50V LUSCOM CNYAN: 50W ánh sáng vàng</t>
  </si>
  <si>
    <t>Đèn Led Bulb (trụ nhôm, đuôi E27) LBN-60T LUSCOM CNYAN: 60W ánh sáng trắng</t>
  </si>
  <si>
    <t>Đèn Led Bulb (trụ nhôm, đuôi E27) LBN-80T LUSCOM CNYAN: 80W ánh sáng trắng</t>
  </si>
  <si>
    <t>Quy cách/Thùng</t>
  </si>
  <si>
    <t>SL bán mẫu</t>
  </si>
  <si>
    <t>100 cái/ mẫu</t>
  </si>
  <si>
    <t>40 cái/ mẫu</t>
  </si>
  <si>
    <t>Mặt 1 công tắc 1 chiều (nút lớn) MCTV11 LUSCOM CNGOG</t>
  </si>
  <si>
    <t>Mặt 1 công tắc 2 chiều (nút lớn) MCTV12 LUSCOM CNGOG</t>
  </si>
  <si>
    <t>Mặt 2 công tắc 1 chiều (nút lớn, 1 vào, 2 ra) MCTV2112 LUSCOM CNGOG</t>
  </si>
  <si>
    <t>Mặt 2 công tắc 2 chiều (nút lớn) MCTV22 LUSCOM CNGOG</t>
  </si>
  <si>
    <t>Mặt 2 công tắc 1 chiều (nút lớn, 2 vào, 2 ra) MCTV2122 LUSCOM CNGOG</t>
  </si>
  <si>
    <t>Mặt 3 công tắc 1 chiều (nút lớn) MCTV31 LUSCOM CNGOG</t>
  </si>
  <si>
    <t>Mặt 3 công tắc 2 chiều (nút lớn) MCTV32 LUSCOM CNGOG</t>
  </si>
  <si>
    <t>Mặt công tắc chuông cửa MVCC LUSCOM CNGOG</t>
  </si>
  <si>
    <t>Mặt 1 ổ cắm 3 chấu, 1 công tắc MF (đèn) MOC3CTN LUSCOM CNGOG</t>
  </si>
  <si>
    <t>Mặt 2 ổ cắm 3 chấu 2 chấu, 1 công tắc MF (đèn) MOC3-2CTN LUSCOM CNGOG</t>
  </si>
  <si>
    <t>Ổ cắm TV MVTV LUSCOM CNGOG</t>
  </si>
  <si>
    <t>Ổ cắm mạng MVOI LUSCOM CNGOG</t>
  </si>
  <si>
    <t>Nút điều chỉnh quạt (cao cấp) MVDF LUSCOM CNGOG</t>
  </si>
  <si>
    <t>Nút điều chỉnh đèn led MVDL LUSCOM CNGOG</t>
  </si>
  <si>
    <t>Mặt 1 công tắc 1 chiều ACT11 LUSCOM CNGOG</t>
  </si>
  <si>
    <t>Mặt 1 công tắc 2 chiều ACT12 LUSCOM CNGOG</t>
  </si>
  <si>
    <t>Mặt 2 công tắc 1 chiều ACT21 LUSCOM CNGOG</t>
  </si>
  <si>
    <t>Mặt 1 công tắc 1 chiều, 1 công tắc 2 chiều ACT1112 LUSCOM CNGOG</t>
  </si>
  <si>
    <t>Mặt 2 công tắc 2 chiều ACT22 LUSCOM CNGOG</t>
  </si>
  <si>
    <t>Mặt 3 công tắc 1 chiều ACT31 LUSCOM CNGOG</t>
  </si>
  <si>
    <t>Mặt 2 công tắc 1 chiều, 1 công tắc 2 chiều ACT2112 LUSCOM CNGOG</t>
  </si>
  <si>
    <t>Mặt 2 công tắc 2 chiều, 1 công tắc 1 chiều ACT2211 LUSCOM CNGOG</t>
  </si>
  <si>
    <t>Mặt 2 ổ cắm 2 chấu AOC22 LUSCOM CNGOG</t>
  </si>
  <si>
    <t>Mặt 2 ổ cắm 3 chấu AOC23 LUSCOM CNGOG</t>
  </si>
  <si>
    <t>Mặt 1 ổ cắm 2 chấu, 1 ổ cắm 3 chấu đa năng AOC1213 LUSCOM CNGOG</t>
  </si>
  <si>
    <t>Mặt 2 ổ cắm 2 chấu, 1 công tắc 1 chiều AOC22CT11 LUSCOM CNGOG</t>
  </si>
  <si>
    <t>Mặt 1 ổ cắm 2 chấu, 1 ổ cắm TV AOC121TV LUSCOM CNGOG</t>
  </si>
  <si>
    <t>Mặt 1 ổ cắm 2 chấu, 1 công tắc 1 chiều AOC12CT11 LUSCOM CNGOG</t>
  </si>
  <si>
    <t>Mặt 1 ổ cắm 2 chấu, 1 công tắc 2 chiều AOC12CT12 LUSCOM CNGOG</t>
  </si>
  <si>
    <t>Mặt 1 ổ cắm 3 chấu, 1 công tắc 1 chiều AOC13CT11 LUSCOM CNGOG</t>
  </si>
  <si>
    <t>Mặt 1 ổ cắm 3 chấu, 1 công tắc 2 chiều AOC13CT12 LUSCOM CNGOG</t>
  </si>
  <si>
    <t>Mặt 1 ổ cắm 2 chấu, 2 công tắc 1 chiều AOC12CT21 LUSCOM CNGOG</t>
  </si>
  <si>
    <t>Mặt 1 ổ cắm 2 chấu, 2 công tắc 2 chiều AOC12CT22 LUSCOM CNGOG</t>
  </si>
  <si>
    <t>Công tắc đơn 1 chiều CT11 LUSCOM CNGOG</t>
  </si>
  <si>
    <t>Công tắc đơn 2 chiều CT12 LUSCOM CNGOG</t>
  </si>
  <si>
    <t>Công tắc đảo chiều CT13 LUSCOM CNGOG</t>
  </si>
  <si>
    <t>Chuông cửa DB LUSCOM CNGOG</t>
  </si>
  <si>
    <t>Ổ cắm 2 chấu nhỏ OC2 LUSCOM CNGOG</t>
  </si>
  <si>
    <t>Ổ cắm 3 chấu nhỏ OC3 LUSCOM CNGOG</t>
  </si>
  <si>
    <t>Ổ cắm 3 chấu đa năng nhỏ OC3ĐN LUSCOM CNGOG</t>
  </si>
  <si>
    <t>Ổ cắm đôi 3 chấu OC23 LUSCOM CNGOG</t>
  </si>
  <si>
    <t>Mặt 1 thiết bị vừa MCN1TB LUSCOM CNGOG</t>
  </si>
  <si>
    <t>Mặt 1 thiết bị nhỏ MCN1TBN LUSCOM CNGOG</t>
  </si>
  <si>
    <t>Mặt 2 thiết bị nhỏ MCN2TB LUSCOM CNGOG</t>
  </si>
  <si>
    <t>Mặt 3 thiết bị nhỏ MCN3TB LUSCOM CNGOG</t>
  </si>
  <si>
    <t>Đế âm vuông DAV LUSCOM CNGOG</t>
  </si>
  <si>
    <t>Đế nổi vuông DNV LUSCOM CNGOG</t>
  </si>
  <si>
    <t>Đế âm chữ nhật DACN LUSCOM CNGOG</t>
  </si>
  <si>
    <t>Đế nổi chữ nhật DNCN LUSCOM CNGOG</t>
  </si>
  <si>
    <t>Quy cách/Hộp</t>
  </si>
  <si>
    <t>1000L - 940mm</t>
  </si>
  <si>
    <t>1500L - 1160mm</t>
  </si>
  <si>
    <t>2000L - 1160 mm</t>
  </si>
  <si>
    <t>3000L - 1170mm</t>
  </si>
  <si>
    <t>5000L - 1400mm</t>
  </si>
  <si>
    <t xml:space="preserve"> 
Bồn nước inox 
Luswell VNDAI đứng</t>
  </si>
  <si>
    <t>700L - 775mm</t>
  </si>
  <si>
    <t xml:space="preserve"> 
Bồn nước inox 
Luswell VNDAI ngang</t>
  </si>
  <si>
    <t>Que hàn J421 VĐ: 2.5mmx300mm</t>
  </si>
  <si>
    <t>Que hàn J421 VĐ: 3.2mmx350mm</t>
  </si>
  <si>
    <t>Que hàn J421 VĐ: 4.0mmx400mm</t>
  </si>
  <si>
    <t>Que hàn 6013 VĐ: 2.5mmx300mm</t>
  </si>
  <si>
    <t>Que hàn 6013 VĐ: 3.2mmx350mm</t>
  </si>
  <si>
    <t>Que hàn 6013 VĐ: 4.0mmx400mm</t>
  </si>
  <si>
    <t>Que hàn Inox 308-16 VĐ: 2.5mmx300mm</t>
  </si>
  <si>
    <t>Que hàn Inox 308-16 VĐ: 3.2mmx350mm</t>
  </si>
  <si>
    <t>Que hàn Inox 308-16 VĐ: 4.0mmx350mm</t>
  </si>
  <si>
    <t>Dây hàn W49 VĐ: 0.8mmx15kg</t>
  </si>
  <si>
    <t>Dây hàn W49 VĐ: 0.9mmx15kg</t>
  </si>
  <si>
    <t>Dây hàn W49 VĐ: 1.0mmx15kg</t>
  </si>
  <si>
    <t>Dây hàn W49 VĐ: 1.2mmx15kg</t>
  </si>
  <si>
    <t>Dây hàn W71T VĐ: 1.2mmx15kg</t>
  </si>
  <si>
    <t>Que hàn E7018 VĐ: 3.2mmx350mm</t>
  </si>
  <si>
    <t>Que hàn E7018 VĐ: 4.0mmx400mm</t>
  </si>
  <si>
    <t>Que hàn N46 VĐ: 2.5mmx300mm</t>
  </si>
  <si>
    <t>Que hàn N46 VĐ: 4.0mmx400mm</t>
  </si>
  <si>
    <t>Que hàn J421</t>
  </si>
  <si>
    <t>Que hàn 6013</t>
  </si>
  <si>
    <t>QUE HÀN VIỆT ĐỨC</t>
  </si>
  <si>
    <t>Que hàn Inox</t>
  </si>
  <si>
    <t>Dây hàn</t>
  </si>
  <si>
    <t>Que hàn E7018</t>
  </si>
  <si>
    <t>Kg</t>
  </si>
  <si>
    <t>Đồng/Kg</t>
  </si>
  <si>
    <t>Đồng/Hộp</t>
  </si>
  <si>
    <t>Đồng/Thùng</t>
  </si>
  <si>
    <t>Hộp /Kg</t>
  </si>
  <si>
    <t>Thùng /kg</t>
  </si>
  <si>
    <t>BỒN TỰ HOẠI LUSWELL</t>
  </si>
  <si>
    <t>Bồn tự hoại Luswell</t>
  </si>
  <si>
    <t>Bồn tự hoại Septic LUSWELL MAX VNVIE đứng: 1000L</t>
  </si>
  <si>
    <t>Bồn tự hoại Septic LUSWELL MAX VNVIE đứng: 1600L</t>
  </si>
  <si>
    <t>Bồn tự hoại Septic LUSWELL MAX VNVIE đứng: 2200L</t>
  </si>
  <si>
    <t>BỒN INOX VNDAI</t>
  </si>
  <si>
    <t>Sơn xịt Acrylic màu đen 39 LUSCOAT CNAER: 0.4L</t>
  </si>
  <si>
    <t>Sơn xịt Acrylic màu đỏ 26 LUSCOAT CNAER: 0.4L</t>
  </si>
  <si>
    <t>Sơn xịt Acrylic màu trắng 40 LUSCOAT CNAER: 0.4L</t>
  </si>
  <si>
    <t>Sơn xịt Acrylic màu xám 301 LUSCOAT CNAER: 0.4L</t>
  </si>
  <si>
    <t>Sơn xịt Acrylic màu nhũ bạc 1580 LUSCOAT CNAER: 0.4L</t>
  </si>
  <si>
    <t>0.4L</t>
  </si>
  <si>
    <t>Chai</t>
  </si>
  <si>
    <t>SƠN XỊT ACRYLIC LUSCOAT CNAER HỆ MÀU THƯỜNG
(không bao gồm màu bạc)</t>
  </si>
  <si>
    <t>SƠN XỊT ACRYLIC LUSCOAT CNAER HỆ MÀU BẠC</t>
  </si>
  <si>
    <t>Chống thấm màu trắng sứ LUSCOAT CNYUH: 5Kg</t>
  </si>
  <si>
    <t>Chống thấm màu xám đậm LUSCOAT CNYUH: 5Kg</t>
  </si>
  <si>
    <t>Chống thấm màu xám nhạt LUSCOAT CNYUH: 5Kg</t>
  </si>
  <si>
    <t>Chống thấm màu trắng sứ LUSCOAT CNYUH: 20Kg</t>
  </si>
  <si>
    <t>Chống thấm màu xám đậm LUSCOAT CNYUH: 20Kg</t>
  </si>
  <si>
    <t>Chống thấm màu xám nhạt LUSCOAT CNYUH: 20Kg</t>
  </si>
  <si>
    <t>LON</t>
  </si>
  <si>
    <t>TẤM CÁCH NHIỆT LUSWELL</t>
  </si>
  <si>
    <t>BỂ PHỐT - BỒN TỰ HOẠI</t>
  </si>
  <si>
    <t>VAN VÒI ĐỒNG PUMA</t>
  </si>
  <si>
    <t>Van bi đồng tay gạt DN15 PN16 CNTIA PUWA</t>
  </si>
  <si>
    <t>Van bi đồng tay gạt DN20 PN16 CNTIA PUWA</t>
  </si>
  <si>
    <t>Van cổng đồng DN15 PN16 CNTIA PUWA</t>
  </si>
  <si>
    <t>Van một chiều lá lật đồng DN20 PN16 CNTIA PUWA</t>
  </si>
  <si>
    <t>Van một chiều lá lật đồng DN25 PN16 CNTIA PUWA</t>
  </si>
  <si>
    <t>Vòi đồng tay nhôm đầu nối thông minh DN15 PN10 CNTIA PUWA</t>
  </si>
  <si>
    <t>Vòi đồng tay nhôm đầu nối thông minh DN20 PN10 CNTIA PUWA</t>
  </si>
  <si>
    <t>Vòi đồng tay thép đầu nối thường DN15 PN16 CNTIA PUWA</t>
  </si>
  <si>
    <t>Vòi đồng tay nhôm đầu nối thông minh DN15 PN16 CNTIA PUWA</t>
  </si>
  <si>
    <t>Vòi đồng tay thép đầu nối thường DN20 PN16 CNTIA PUWA</t>
  </si>
  <si>
    <t>Vòi đồng tay nhôm đầu nối thông minh DN20 PN16 CNTIA PUWA</t>
  </si>
  <si>
    <t>NIÊM YẾT</t>
  </si>
  <si>
    <t>CÔNG TẮC Ổ CẮM</t>
  </si>
  <si>
    <t>Thiết bị đóng ngắt tự động 1 cực 10A 4.5kA 5TJ3110-7 SI</t>
  </si>
  <si>
    <t>Thiết bị đóng ngắt tự động 1 cực 16A 4.5kA 5TJ3116-7 SI</t>
  </si>
  <si>
    <t>Thiết bị đóng ngắt tự động 1 cực 20A 4.5kA 5TJ3120-7 SI</t>
  </si>
  <si>
    <t>Thiết bị đóng ngắt tự động 1 cực 25A 4.5kA 5TJ3125-7 SI</t>
  </si>
  <si>
    <t>Thiết bị đóng ngắt tự động 1 cực 32A 4.5kA 5TJ3132-7 SI</t>
  </si>
  <si>
    <t>Thiết bị đóng ngắt tự động 2 cực 10A 4.5kA 5TJ3210-7 SI</t>
  </si>
  <si>
    <t>Thiết bị đóng ngắt tự động 2 cực 16A 4.5kA 5TJ3216-7 SI</t>
  </si>
  <si>
    <t>Thiết bị đóng ngắt tự động 2 cực 20A 4.5kA 5TJ3220-7 SI</t>
  </si>
  <si>
    <t>Thiết bị đóng ngắt tự động 2 cực 25A 4.5kA 5TJ3225-7 SI</t>
  </si>
  <si>
    <t>Thiết bị đóng ngắt tự động 2 cực 32A 4.5kA 5TJ3232-7 SI</t>
  </si>
  <si>
    <t>Thiết bị đóng ngắt tự động 2 cực 40A 4.5kA 5TJ3240-7 SI</t>
  </si>
  <si>
    <t>Thiết bị đóng ngắt tự động 2 cực 50A 4.5kA 5TJ3250-7 SI</t>
  </si>
  <si>
    <t>Thiết bị đóng ngắt tự động 2 cực 63A 4.5kA 5TJ3263-7 SI</t>
  </si>
  <si>
    <t>Thiết bị đóng ngắt tự động 3 cực 32A 4.5kA 5TJ3332-7 SI</t>
  </si>
  <si>
    <t>Thiết bị đóng ngắt tự động 3 cực 40A 4.5kA 5TJ3340-7 SI</t>
  </si>
  <si>
    <t>Thiết bị đóng ngắt tự động 3 cực 50A 4.5kA 5TJ3350-7 SI</t>
  </si>
  <si>
    <t>Thiết bị đóng ngắt tự động 3 cực 63A 4.5kA 5TJ3363-7 SI</t>
  </si>
  <si>
    <t>Thiết bị đóng ngắt tự động chống dòng rò 2 cực 25A 30mA 6kA 5TJ7312-0 SI</t>
  </si>
  <si>
    <t>Thiết bị đóng ngắt tự động chống dòng rò 2 cực 40A 30mA 6kA 5TJ7314-0 SI</t>
  </si>
  <si>
    <t>Thiết bị đóng ngắt tự động chống dòng rò 2 cực 63A 30mA 6kA 5TJ7316-0 SI</t>
  </si>
  <si>
    <t>ĐÁ CẮT - ĐÁ MÀI LUSFIX</t>
  </si>
  <si>
    <t>Đá mài đa năng màu xanh lá LUSFIX CNSEN: 100mmx6mmx16mm</t>
  </si>
  <si>
    <t>Đá cắt đa năng màu xanh lá LUSFIX CNSEN: 107mmx1.2mmx16mm</t>
  </si>
  <si>
    <t>Đá cắt đa năng màu xanh lá LUSFIX CNSEN: 355mmx2.5mmx25.4mm</t>
  </si>
  <si>
    <t>Viên / Hộp</t>
  </si>
  <si>
    <t>Viên</t>
  </si>
  <si>
    <t>Hộp/Thùng</t>
  </si>
  <si>
    <t>PANEL LUSCOM</t>
  </si>
  <si>
    <t>LED BULB LUSCOM</t>
  </si>
  <si>
    <t>Đèn Led Panel âm trần (đổi màu) RP-7CC LUSCOM CNTWI: 7W/3CCT</t>
  </si>
  <si>
    <t>Đèn Led Panel âm trần (đổi màu) RP-9CC LUSCOM CNTWI: 9W/3CCT</t>
  </si>
  <si>
    <t>Đèn Led Panel âm trần (đổi màu) RP-12CC LUSCOM CNTWI: 12W/3CCT</t>
  </si>
  <si>
    <t>Đèn Led Panel âm trần (đổi màu, viền vàng) RP-7CC/G LUSCOM CNTWI: 7W/3CCT</t>
  </si>
  <si>
    <t>Đèn Led Panel âm trần (đổi màu, viền vàng) RP-9CC/G LUSCOM CNTWI: 9W/3CCT</t>
  </si>
  <si>
    <t>Đèn Led Panel âm trần (đổi màu, viền vàng) RP-12CC/G LUSCOM CNTWI: 12W/3CCT</t>
  </si>
  <si>
    <t>Đèn Led Panel âm trần (đổi màu, viền bạc) RP-7CC/S LUSCOM CNTWI: 7W/3CCT</t>
  </si>
  <si>
    <t>Đèn Led Panel âm trần (đổi màu, viền bạc) RP-9CC/S LUSCOM CNTWI: 9W/3CCT</t>
  </si>
  <si>
    <t>Đèn Led Panel âm trần (đổi màu, viền bạc) RP-12CC/S LUSCOM CNTWI: 12W/3CCT</t>
  </si>
  <si>
    <t>Đèn Led Panel âm trần RP-7V LUSCOM CNTWI: 7W ánh sáng vàng</t>
  </si>
  <si>
    <t>Đèn Led Panel âm trần RP-7T LUSCOM CNTWI: 7W ánh sáng trắng</t>
  </si>
  <si>
    <t>Đèn Led Panel âm trần RP-9V LUSCOM CNTWI: 9W ánh sáng vàng</t>
  </si>
  <si>
    <t>Đèn Led Panel âm trần RP-9T LUSCOM CNTWI: 9W ánh sáng trắng</t>
  </si>
  <si>
    <t>Đèn Led Panel âm trần RP-12V LUSCOM CNTWI: 12W ánh sáng vàng</t>
  </si>
  <si>
    <t>Đèn Led Panel âm trần RP-12T LUSCOM CNTWI: 12W ánh sáng trắng</t>
  </si>
  <si>
    <t>60 cái/ mẫu</t>
  </si>
  <si>
    <t>Giá Niêm yết</t>
  </si>
  <si>
    <t>Giá niêm yết</t>
  </si>
  <si>
    <t>-</t>
  </si>
  <si>
    <t>THIẾT BỊ ĐÓNG NGẮT - SIEMENS</t>
  </si>
  <si>
    <t>Vít bắn tôn</t>
  </si>
  <si>
    <t>Vít LUSWELL CNHEB: 68mm (1000H)</t>
  </si>
  <si>
    <t>Vít LUSWELL MAX VNSHE: 68mm (2000H) 100 con</t>
  </si>
  <si>
    <t>27,7</t>
  </si>
  <si>
    <t>37,0</t>
  </si>
  <si>
    <t>46,2</t>
  </si>
  <si>
    <t>55,5</t>
  </si>
  <si>
    <t>64,7</t>
  </si>
  <si>
    <t>74,0</t>
  </si>
  <si>
    <t>83,2</t>
  </si>
  <si>
    <t>Bồn nước nhựa 
Luswell VNVIE ngang</t>
  </si>
  <si>
    <t>Sơn thép mạ kẽm LUSCOAT VNRON 1TP hệ màu nhũ BẠC</t>
  </si>
  <si>
    <t>Sơn thép mạ kẽm LUSCOAT VNRON 1TP hệ màu nhũ VÀNG</t>
  </si>
  <si>
    <r>
      <t xml:space="preserve">KHÁCH SỈ
</t>
    </r>
    <r>
      <rPr>
        <b/>
        <sz val="11"/>
        <color theme="1"/>
        <rFont val="Times New Roman"/>
        <family val="1"/>
      </rPr>
      <t>50%</t>
    </r>
  </si>
  <si>
    <r>
      <t xml:space="preserve">THẦU THỢ
</t>
    </r>
    <r>
      <rPr>
        <b/>
        <sz val="11"/>
        <color theme="1"/>
        <rFont val="Times New Roman"/>
        <family val="1"/>
      </rPr>
      <t>45%</t>
    </r>
  </si>
  <si>
    <r>
      <t xml:space="preserve">KHÁCH LẺ
</t>
    </r>
    <r>
      <rPr>
        <b/>
        <sz val="11"/>
        <color theme="1"/>
        <rFont val="Times New Roman"/>
        <family val="1"/>
      </rPr>
      <t>40%</t>
    </r>
  </si>
  <si>
    <t>Giá niêm yết (có VAT)</t>
  </si>
  <si>
    <t>SL Bán mẫu</t>
  </si>
  <si>
    <t>60 cái</t>
  </si>
  <si>
    <t>BẢNG GIÁ ĐÈN PANEL VUÔNG LUSCOM</t>
  </si>
  <si>
    <t>Đèn Led Panel SP-40T LUSCOM CNSHI: 40W ánh sáng trắng</t>
  </si>
  <si>
    <t>Stt</t>
  </si>
  <si>
    <t>Tên sản phẩm</t>
  </si>
  <si>
    <t>Đvt</t>
  </si>
  <si>
    <t>Giá bán NY
(chưa VAT) 
(đồng/đvt)</t>
  </si>
  <si>
    <t>Giá lẻ
(có VAT) 
(đồng/đvt)</t>
  </si>
  <si>
    <t>Giá thầu thợ
(có VAT) 
(đồng/đvt)</t>
  </si>
  <si>
    <t>Giá sỉ
(có VAT) 
(đồng/đvt)</t>
  </si>
  <si>
    <t>Chiết khấu</t>
  </si>
  <si>
    <t>Máy khoan 3 chức năng dùng pin MK02-001 LUSFIX CNMIN: 18V
(giá máy , chưa bao gồm Pin và Sạc, CH lưu ý)</t>
  </si>
  <si>
    <t>Máy khoan động lực dùng pin MK02-003 LUSFIX CNMIN: 18V
(giá máy , chưa bao gồm Pin và Sạc)</t>
  </si>
  <si>
    <t>Máy vặn vít dùng pin MV02-001 LUSFIX CNMIN: 18V
(giá máy , chưa bao gồm Pin và Sạc)</t>
  </si>
  <si>
    <t>Máy vặn vít mini dùng pin MV02-002 LUSFIX CNMIN: 4V
(giá máy , chưa bao gồm Pin và Sạc)</t>
  </si>
  <si>
    <t>Máy siết bulong dùng pin MS02-001 LUSFIX CNMIN: 18V
(giá máy , chưa bao gồm Pin và Sạc)</t>
  </si>
  <si>
    <t>Pin 2AH LUSFIX CNMIN: 18V</t>
  </si>
  <si>
    <t>Pin 4AH LUSFIX CNMIN: 18V</t>
  </si>
  <si>
    <t>Sạc LUSFIX CNMIN: 18V</t>
  </si>
  <si>
    <t>Kìm mũi nhọn KN001 LUSFIX VNQJT: 152mm</t>
  </si>
  <si>
    <t>Kìm mũi nhọn KN002 LUSFIX VNQJT: 203mm</t>
  </si>
  <si>
    <t>Kìm răng KR001 LUSFIX VNQJT: 152mm</t>
  </si>
  <si>
    <t>Kìm răng KR002 LUSFIX VNQJT: 203mm</t>
  </si>
  <si>
    <t>Kìm cắt KC001 LUSFIX VNQJT: 203mm</t>
  </si>
  <si>
    <t>Kìm khóa KK001 LUSFIX VNQJT: 254mm</t>
  </si>
  <si>
    <t>Bộ 3 tua vít dẹp TD001 LUSFIX VNQJT: 8x152mm+6x102mm+3x76mm</t>
  </si>
  <si>
    <t>Bộ 3 tua vít bake TB001 LUSFIX VNQJT: PH2x102mm+PH1x102mm+PH0x76mm</t>
  </si>
  <si>
    <t>Búa cán gỗ BG001 LUSFIX VNQJT: 198.45gram</t>
  </si>
  <si>
    <t>Cờ lê hai đầu CM001 LUSFIX VNQJT: 8mm-10mm</t>
  </si>
  <si>
    <t>Cờ lê hai đầu CM002 LUSFIX VNQJT: 10mm-12mm</t>
  </si>
  <si>
    <t>Cờ lê hai đầu CM003 LUSFIX VNQJT: 14mm-17mm</t>
  </si>
  <si>
    <t>Cờ lê hai đầu CM004 LUSFIX VNQJT: 13mm-15mm</t>
  </si>
  <si>
    <t>Cờ lê hai đầu CM005 LUSFIX VNQJT: 17mm-19mm</t>
  </si>
  <si>
    <t>Cờ lê vòng miệng CV001 LUSFIX VNQJT: 12mm</t>
  </si>
  <si>
    <t>Cờ lê vòng miệng CV002 LUSFIX VNQJT: 13mm</t>
  </si>
  <si>
    <t>Cờ lê vòng miệng CV003 LUSFIX VNQJT: 14mm</t>
  </si>
  <si>
    <t>Cờ lê vòng miệng CV004 LUSFIX VNQJT: 17mm</t>
  </si>
  <si>
    <t>Cờ lê vòng miệng CV005 LUSFIX VNQJT: 19mm</t>
  </si>
  <si>
    <t>Giá bán mẫu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</si>
</sst>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rgb="FFFF0000"/>
      <name val="Times New Roman"/>
      <family val="1"/>
    </font>
    <font>
      <i/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AEEF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3" fontId="4" fillId="4" borderId="1" xfId="1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43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3" fontId="4" fillId="6" borderId="1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4" fillId="3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3" fontId="5" fillId="5" borderId="1" xfId="1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4" fillId="0" borderId="1" xfId="0" applyFont="1" applyBorder="1" applyAlignment="1">
      <alignment horizontal="left" vertical="center" wrapText="1"/>
    </xf>
    <xf numFmtId="3" fontId="5" fillId="6" borderId="1" xfId="1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10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wrapText="1"/>
    </xf>
    <xf numFmtId="9" fontId="10" fillId="7" borderId="20" xfId="0" applyNumberFormat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wrapText="1"/>
    </xf>
    <xf numFmtId="0" fontId="4" fillId="0" borderId="22" xfId="0" applyFont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0" borderId="1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9" fontId="4" fillId="3" borderId="6" xfId="0" applyNumberFormat="1" applyFont="1" applyFill="1" applyBorder="1" applyAlignment="1">
      <alignment horizontal="center" vertical="center"/>
    </xf>
    <xf numFmtId="9" fontId="4" fillId="3" borderId="7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view="pageBreakPreview" zoomScaleNormal="100" zoomScaleSheetLayoutView="100" workbookViewId="0">
      <selection activeCell="J6" sqref="J6"/>
    </sheetView>
  </sheetViews>
  <sheetFormatPr defaultRowHeight="15" x14ac:dyDescent="0.25"/>
  <cols>
    <col min="2" max="2" width="21.5703125" customWidth="1"/>
    <col min="3" max="3" width="21.42578125" customWidth="1"/>
    <col min="4" max="4" width="6.5703125" customWidth="1"/>
    <col min="5" max="9" width="13.85546875" customWidth="1"/>
    <col min="10" max="10" width="12.42578125" bestFit="1" customWidth="1"/>
  </cols>
  <sheetData>
    <row r="1" spans="1:10" ht="23.65" customHeight="1" x14ac:dyDescent="0.25">
      <c r="A1" s="81" t="s">
        <v>7</v>
      </c>
      <c r="B1" s="81"/>
      <c r="C1" s="81"/>
      <c r="D1" s="2"/>
      <c r="E1" s="76" t="s">
        <v>14</v>
      </c>
      <c r="F1" s="3" t="s">
        <v>10</v>
      </c>
      <c r="G1" s="3" t="s">
        <v>11</v>
      </c>
      <c r="H1" s="3" t="s">
        <v>12</v>
      </c>
      <c r="I1" s="4" t="s">
        <v>13</v>
      </c>
    </row>
    <row r="2" spans="1:10" ht="18" customHeight="1" x14ac:dyDescent="0.25">
      <c r="A2" s="81"/>
      <c r="B2" s="81"/>
      <c r="C2" s="81"/>
      <c r="D2" s="2"/>
      <c r="E2" s="82"/>
      <c r="F2" s="5">
        <v>0.2</v>
      </c>
      <c r="G2" s="5">
        <v>0.1</v>
      </c>
      <c r="H2" s="5">
        <v>0</v>
      </c>
      <c r="I2" s="6">
        <v>0.35</v>
      </c>
    </row>
    <row r="3" spans="1:10" s="1" customFormat="1" ht="20.85" customHeight="1" x14ac:dyDescent="0.25">
      <c r="A3" s="7">
        <v>1</v>
      </c>
      <c r="B3" s="78" t="s">
        <v>16</v>
      </c>
      <c r="C3" s="7" t="s">
        <v>17</v>
      </c>
      <c r="D3" s="7" t="s">
        <v>1</v>
      </c>
      <c r="E3" s="8">
        <v>5060000</v>
      </c>
      <c r="F3" s="8">
        <f>E3*1.08*(1-0.2)</f>
        <v>4371840</v>
      </c>
      <c r="G3" s="8">
        <f>E3*1.08*(1-0.1)</f>
        <v>4918320</v>
      </c>
      <c r="H3" s="8">
        <v>5464800</v>
      </c>
      <c r="I3" s="9">
        <f>(E3*0.65)*1.08</f>
        <v>3552120.0000000005</v>
      </c>
      <c r="J3" s="33"/>
    </row>
    <row r="4" spans="1:10" s="1" customFormat="1" ht="20.85" customHeight="1" x14ac:dyDescent="0.25">
      <c r="A4" s="7">
        <v>2</v>
      </c>
      <c r="B4" s="78"/>
      <c r="C4" s="7" t="s">
        <v>18</v>
      </c>
      <c r="D4" s="7" t="s">
        <v>1</v>
      </c>
      <c r="E4" s="8">
        <v>6220000</v>
      </c>
      <c r="F4" s="8">
        <f>E4*1.08*(1-0.2)</f>
        <v>5374080</v>
      </c>
      <c r="G4" s="8">
        <f t="shared" ref="G4:G8" si="0">E4*1.08*(1-0.1)</f>
        <v>6045840</v>
      </c>
      <c r="H4" s="8">
        <v>6717600</v>
      </c>
      <c r="I4" s="9">
        <f t="shared" ref="I4:I8" si="1">(E4*0.65)*1.08</f>
        <v>4366440</v>
      </c>
    </row>
    <row r="5" spans="1:10" s="1" customFormat="1" ht="20.85" customHeight="1" x14ac:dyDescent="0.25">
      <c r="A5" s="7">
        <v>3</v>
      </c>
      <c r="B5" s="78"/>
      <c r="C5" s="7" t="s">
        <v>19</v>
      </c>
      <c r="D5" s="7" t="s">
        <v>1</v>
      </c>
      <c r="E5" s="8">
        <v>7380000</v>
      </c>
      <c r="F5" s="8">
        <f t="shared" ref="F5:F8" si="2">E5*1.08*(1-0.2)</f>
        <v>6376320.0000000009</v>
      </c>
      <c r="G5" s="8">
        <f t="shared" si="0"/>
        <v>7173360.0000000009</v>
      </c>
      <c r="H5" s="8">
        <v>7970400</v>
      </c>
      <c r="I5" s="9">
        <f t="shared" si="1"/>
        <v>5180760</v>
      </c>
    </row>
    <row r="6" spans="1:10" s="1" customFormat="1" ht="20.85" customHeight="1" x14ac:dyDescent="0.25">
      <c r="A6" s="7">
        <v>4</v>
      </c>
      <c r="B6" s="78"/>
      <c r="C6" s="7" t="s">
        <v>20</v>
      </c>
      <c r="D6" s="7" t="s">
        <v>1</v>
      </c>
      <c r="E6" s="8">
        <v>8160000</v>
      </c>
      <c r="F6" s="8">
        <f t="shared" si="2"/>
        <v>7050240</v>
      </c>
      <c r="G6" s="8">
        <f t="shared" si="0"/>
        <v>7931520</v>
      </c>
      <c r="H6" s="8">
        <v>8812800</v>
      </c>
      <c r="I6" s="9">
        <f t="shared" si="1"/>
        <v>5728320</v>
      </c>
    </row>
    <row r="7" spans="1:10" s="1" customFormat="1" ht="20.85" customHeight="1" x14ac:dyDescent="0.25">
      <c r="A7" s="7">
        <v>5</v>
      </c>
      <c r="B7" s="78"/>
      <c r="C7" s="7" t="s">
        <v>21</v>
      </c>
      <c r="D7" s="7" t="s">
        <v>1</v>
      </c>
      <c r="E7" s="8">
        <v>9760000</v>
      </c>
      <c r="F7" s="8">
        <f t="shared" si="2"/>
        <v>8432640</v>
      </c>
      <c r="G7" s="8">
        <f t="shared" si="0"/>
        <v>9486720</v>
      </c>
      <c r="H7" s="8">
        <v>10540800</v>
      </c>
      <c r="I7" s="9">
        <f t="shared" si="1"/>
        <v>6851520</v>
      </c>
    </row>
    <row r="8" spans="1:10" s="1" customFormat="1" ht="20.85" customHeight="1" x14ac:dyDescent="0.25">
      <c r="A8" s="7">
        <v>6</v>
      </c>
      <c r="B8" s="78"/>
      <c r="C8" s="7" t="s">
        <v>22</v>
      </c>
      <c r="D8" s="7" t="s">
        <v>1</v>
      </c>
      <c r="E8" s="8">
        <v>12100000</v>
      </c>
      <c r="F8" s="8">
        <f t="shared" si="2"/>
        <v>10454400</v>
      </c>
      <c r="G8" s="8">
        <f t="shared" si="0"/>
        <v>11761200</v>
      </c>
      <c r="H8" s="8">
        <v>13068000</v>
      </c>
      <c r="I8" s="9">
        <f t="shared" si="1"/>
        <v>8494200</v>
      </c>
    </row>
    <row r="9" spans="1:10" s="1" customFormat="1" ht="20.85" hidden="1" customHeight="1" x14ac:dyDescent="0.25">
      <c r="A9" s="13">
        <v>7</v>
      </c>
      <c r="B9" s="79" t="s">
        <v>15</v>
      </c>
      <c r="C9" s="13" t="s">
        <v>23</v>
      </c>
      <c r="D9" s="13" t="s">
        <v>1</v>
      </c>
      <c r="E9" s="14">
        <v>4280000</v>
      </c>
      <c r="F9" s="14">
        <v>3605472</v>
      </c>
      <c r="G9" s="14">
        <v>4067712</v>
      </c>
      <c r="H9" s="14">
        <v>4529952</v>
      </c>
      <c r="I9" s="9">
        <f t="shared" ref="I9:I15" si="3">(E9*0.65)*1.08</f>
        <v>3004560</v>
      </c>
    </row>
    <row r="10" spans="1:10" s="1" customFormat="1" ht="20.85" hidden="1" customHeight="1" x14ac:dyDescent="0.25">
      <c r="A10" s="13">
        <v>8</v>
      </c>
      <c r="B10" s="80"/>
      <c r="C10" s="13" t="s">
        <v>24</v>
      </c>
      <c r="D10" s="13" t="s">
        <v>1</v>
      </c>
      <c r="E10" s="14">
        <v>4800000</v>
      </c>
      <c r="F10" s="14">
        <v>4043520</v>
      </c>
      <c r="G10" s="14">
        <v>4561920</v>
      </c>
      <c r="H10" s="14">
        <v>5080320</v>
      </c>
      <c r="I10" s="9">
        <f t="shared" si="3"/>
        <v>3369600</v>
      </c>
    </row>
    <row r="11" spans="1:10" s="1" customFormat="1" ht="20.85" hidden="1" customHeight="1" x14ac:dyDescent="0.25">
      <c r="A11" s="13">
        <v>9</v>
      </c>
      <c r="B11" s="80"/>
      <c r="C11" s="13" t="s">
        <v>25</v>
      </c>
      <c r="D11" s="13" t="s">
        <v>1</v>
      </c>
      <c r="E11" s="14">
        <v>5480000</v>
      </c>
      <c r="F11" s="14">
        <v>4616352</v>
      </c>
      <c r="G11" s="14">
        <v>5208192</v>
      </c>
      <c r="H11" s="14">
        <v>5800032</v>
      </c>
      <c r="I11" s="9">
        <f t="shared" si="3"/>
        <v>3846960.0000000005</v>
      </c>
    </row>
    <row r="12" spans="1:10" s="1" customFormat="1" ht="20.85" hidden="1" customHeight="1" x14ac:dyDescent="0.25">
      <c r="A12" s="13">
        <v>10</v>
      </c>
      <c r="B12" s="80"/>
      <c r="C12" s="13" t="s">
        <v>19</v>
      </c>
      <c r="D12" s="13" t="s">
        <v>1</v>
      </c>
      <c r="E12" s="14">
        <v>6170000</v>
      </c>
      <c r="F12" s="14">
        <v>5197608</v>
      </c>
      <c r="G12" s="14">
        <v>5863968</v>
      </c>
      <c r="H12" s="14">
        <v>6530328</v>
      </c>
      <c r="I12" s="9">
        <f t="shared" si="3"/>
        <v>4331340</v>
      </c>
    </row>
    <row r="13" spans="1:10" s="1" customFormat="1" ht="20.85" hidden="1" customHeight="1" x14ac:dyDescent="0.25">
      <c r="A13" s="13">
        <v>11</v>
      </c>
      <c r="B13" s="80"/>
      <c r="C13" s="13" t="s">
        <v>20</v>
      </c>
      <c r="D13" s="13" t="s">
        <v>1</v>
      </c>
      <c r="E13" s="14">
        <v>6850000</v>
      </c>
      <c r="F13" s="14">
        <v>5770440</v>
      </c>
      <c r="G13" s="14">
        <v>6510240</v>
      </c>
      <c r="H13" s="14">
        <v>7250040</v>
      </c>
      <c r="I13" s="9">
        <f t="shared" si="3"/>
        <v>4808700</v>
      </c>
    </row>
    <row r="14" spans="1:10" s="1" customFormat="1" ht="20.85" hidden="1" customHeight="1" x14ac:dyDescent="0.25">
      <c r="A14" s="13">
        <v>12</v>
      </c>
      <c r="B14" s="80"/>
      <c r="C14" s="13" t="s">
        <v>21</v>
      </c>
      <c r="D14" s="13" t="s">
        <v>1</v>
      </c>
      <c r="E14" s="14">
        <v>8220000</v>
      </c>
      <c r="F14" s="14">
        <v>6924528</v>
      </c>
      <c r="G14" s="14">
        <v>7812288</v>
      </c>
      <c r="H14" s="14">
        <v>8700048</v>
      </c>
      <c r="I14" s="9">
        <f t="shared" si="3"/>
        <v>5770440</v>
      </c>
    </row>
    <row r="15" spans="1:10" hidden="1" x14ac:dyDescent="0.25">
      <c r="A15" s="15">
        <v>13</v>
      </c>
      <c r="B15" s="80"/>
      <c r="C15" s="13" t="s">
        <v>22</v>
      </c>
      <c r="D15" s="13" t="s">
        <v>1</v>
      </c>
      <c r="E15" s="14">
        <v>10270000</v>
      </c>
      <c r="F15" s="14">
        <v>8651448</v>
      </c>
      <c r="G15" s="14">
        <v>9760608</v>
      </c>
      <c r="H15" s="14">
        <v>10869768</v>
      </c>
      <c r="I15" s="9">
        <f t="shared" si="3"/>
        <v>7209540.0000000009</v>
      </c>
    </row>
  </sheetData>
  <mergeCells count="4">
    <mergeCell ref="A1:C2"/>
    <mergeCell ref="E1:E2"/>
    <mergeCell ref="B3:B8"/>
    <mergeCell ref="B9:B15"/>
  </mergeCells>
  <pageMargins left="0.7" right="0.7" top="0.75" bottom="0.75" header="0.3" footer="0.3"/>
  <pageSetup scale="71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view="pageBreakPreview" zoomScale="85" zoomScaleNormal="100" zoomScaleSheetLayoutView="85" workbookViewId="0">
      <selection activeCell="K30" sqref="K30"/>
    </sheetView>
  </sheetViews>
  <sheetFormatPr defaultRowHeight="15" x14ac:dyDescent="0.25"/>
  <cols>
    <col min="2" max="2" width="25.140625" customWidth="1"/>
    <col min="3" max="3" width="22.140625" customWidth="1"/>
    <col min="4" max="4" width="6.5703125" customWidth="1"/>
    <col min="5" max="5" width="15.5703125" customWidth="1"/>
    <col min="6" max="9" width="13.85546875" customWidth="1"/>
  </cols>
  <sheetData>
    <row r="1" spans="1:11" ht="23.65" customHeight="1" x14ac:dyDescent="0.25">
      <c r="A1" s="81" t="s">
        <v>27</v>
      </c>
      <c r="B1" s="81"/>
      <c r="C1" s="81"/>
      <c r="D1" s="2"/>
      <c r="E1" s="76" t="s">
        <v>14</v>
      </c>
      <c r="F1" s="3" t="s">
        <v>10</v>
      </c>
      <c r="G1" s="3" t="s">
        <v>11</v>
      </c>
      <c r="H1" s="3" t="s">
        <v>12</v>
      </c>
      <c r="I1" s="4" t="s">
        <v>13</v>
      </c>
    </row>
    <row r="2" spans="1:11" ht="18" customHeight="1" x14ac:dyDescent="0.25">
      <c r="A2" s="81"/>
      <c r="B2" s="81"/>
      <c r="C2" s="81"/>
      <c r="D2" s="2"/>
      <c r="E2" s="82"/>
      <c r="F2" s="5">
        <v>0.2</v>
      </c>
      <c r="G2" s="5">
        <v>0.1</v>
      </c>
      <c r="H2" s="5">
        <v>0</v>
      </c>
      <c r="I2" s="6">
        <v>0.35</v>
      </c>
    </row>
    <row r="3" spans="1:11" s="1" customFormat="1" ht="20.85" customHeight="1" x14ac:dyDescent="0.25">
      <c r="A3" s="7">
        <v>1</v>
      </c>
      <c r="B3" s="78" t="s">
        <v>8</v>
      </c>
      <c r="C3" s="7" t="s">
        <v>0</v>
      </c>
      <c r="D3" s="7" t="s">
        <v>1</v>
      </c>
      <c r="E3" s="8">
        <v>2365000</v>
      </c>
      <c r="F3" s="8">
        <f>E3*(1-0.2)*1.08</f>
        <v>2043360.0000000002</v>
      </c>
      <c r="G3" s="8">
        <f>E3*(1-0.1)*1.08</f>
        <v>2298780</v>
      </c>
      <c r="H3" s="8">
        <f>E3*(1+0)*1.08</f>
        <v>2554200</v>
      </c>
      <c r="I3" s="9">
        <f>(E3*0.65)*1.08</f>
        <v>1660230</v>
      </c>
      <c r="K3" s="34"/>
    </row>
    <row r="4" spans="1:11" s="1" customFormat="1" ht="20.85" customHeight="1" x14ac:dyDescent="0.25">
      <c r="A4" s="7">
        <v>2</v>
      </c>
      <c r="B4" s="78"/>
      <c r="C4" s="10" t="s">
        <v>2</v>
      </c>
      <c r="D4" s="10" t="s">
        <v>1</v>
      </c>
      <c r="E4" s="11">
        <v>3500000</v>
      </c>
      <c r="F4" s="11">
        <f t="shared" ref="F4:F15" si="0">E4*(1-0.2)*1.08</f>
        <v>3024000</v>
      </c>
      <c r="G4" s="11">
        <f t="shared" ref="G4:G15" si="1">E4*(1-0.1)*1.08</f>
        <v>3402000</v>
      </c>
      <c r="H4" s="11">
        <f t="shared" ref="H4:H15" si="2">E4*(1+0)*1.08</f>
        <v>3780000.0000000005</v>
      </c>
      <c r="I4" s="20">
        <f t="shared" ref="I4:I15" si="3">(E4*0.65)*1.08</f>
        <v>2457000</v>
      </c>
      <c r="K4" s="34"/>
    </row>
    <row r="5" spans="1:11" s="1" customFormat="1" ht="20.85" customHeight="1" x14ac:dyDescent="0.25">
      <c r="A5" s="7">
        <v>3</v>
      </c>
      <c r="B5" s="78"/>
      <c r="C5" s="7" t="s">
        <v>3</v>
      </c>
      <c r="D5" s="7" t="s">
        <v>1</v>
      </c>
      <c r="E5" s="8">
        <v>5325000</v>
      </c>
      <c r="F5" s="8">
        <f t="shared" si="0"/>
        <v>4600800</v>
      </c>
      <c r="G5" s="8">
        <f t="shared" si="1"/>
        <v>5175900</v>
      </c>
      <c r="H5" s="8">
        <f t="shared" si="2"/>
        <v>5751000</v>
      </c>
      <c r="I5" s="9">
        <f t="shared" si="3"/>
        <v>3738150.0000000005</v>
      </c>
      <c r="K5" s="34"/>
    </row>
    <row r="6" spans="1:11" s="1" customFormat="1" ht="20.85" customHeight="1" x14ac:dyDescent="0.25">
      <c r="A6" s="7">
        <v>4</v>
      </c>
      <c r="B6" s="78"/>
      <c r="C6" s="7" t="s">
        <v>4</v>
      </c>
      <c r="D6" s="7" t="s">
        <v>1</v>
      </c>
      <c r="E6" s="8">
        <v>7110000</v>
      </c>
      <c r="F6" s="8">
        <f t="shared" si="0"/>
        <v>6143040</v>
      </c>
      <c r="G6" s="8">
        <f t="shared" si="1"/>
        <v>6910920</v>
      </c>
      <c r="H6" s="8">
        <f t="shared" si="2"/>
        <v>7678800.0000000009</v>
      </c>
      <c r="I6" s="9">
        <f t="shared" si="3"/>
        <v>4991220</v>
      </c>
      <c r="K6" s="34"/>
    </row>
    <row r="7" spans="1:11" s="1" customFormat="1" ht="20.85" customHeight="1" x14ac:dyDescent="0.25">
      <c r="A7" s="7">
        <v>5</v>
      </c>
      <c r="B7" s="78"/>
      <c r="C7" s="7" t="s">
        <v>5</v>
      </c>
      <c r="D7" s="7" t="s">
        <v>1</v>
      </c>
      <c r="E7" s="8">
        <v>10560000</v>
      </c>
      <c r="F7" s="8">
        <f t="shared" si="0"/>
        <v>9123840</v>
      </c>
      <c r="G7" s="8">
        <f t="shared" si="1"/>
        <v>10264320</v>
      </c>
      <c r="H7" s="8">
        <f t="shared" si="2"/>
        <v>11404800</v>
      </c>
      <c r="I7" s="9">
        <f t="shared" si="3"/>
        <v>7413120.0000000009</v>
      </c>
    </row>
    <row r="8" spans="1:11" s="1" customFormat="1" ht="20.85" customHeight="1" x14ac:dyDescent="0.25">
      <c r="A8" s="7">
        <v>6</v>
      </c>
      <c r="B8" s="78"/>
      <c r="C8" s="7" t="s">
        <v>6</v>
      </c>
      <c r="D8" s="7" t="s">
        <v>1</v>
      </c>
      <c r="E8" s="8">
        <v>16200000</v>
      </c>
      <c r="F8" s="8">
        <f t="shared" si="0"/>
        <v>13996800</v>
      </c>
      <c r="G8" s="8">
        <f t="shared" si="1"/>
        <v>15746400.000000002</v>
      </c>
      <c r="H8" s="8">
        <f t="shared" si="2"/>
        <v>17496000</v>
      </c>
      <c r="I8" s="9">
        <f t="shared" si="3"/>
        <v>11372400</v>
      </c>
    </row>
    <row r="9" spans="1:11" s="1" customFormat="1" ht="20.85" customHeight="1" x14ac:dyDescent="0.25">
      <c r="A9" s="13">
        <v>7</v>
      </c>
      <c r="B9" s="85" t="s">
        <v>9</v>
      </c>
      <c r="C9" s="13" t="s">
        <v>0</v>
      </c>
      <c r="D9" s="13" t="s">
        <v>1</v>
      </c>
      <c r="E9" s="14">
        <v>2645000</v>
      </c>
      <c r="F9" s="14">
        <f t="shared" si="0"/>
        <v>2285280</v>
      </c>
      <c r="G9" s="14">
        <f t="shared" si="1"/>
        <v>2570940</v>
      </c>
      <c r="H9" s="14">
        <f t="shared" si="2"/>
        <v>2856600</v>
      </c>
      <c r="I9" s="9">
        <f t="shared" si="3"/>
        <v>1856790.0000000002</v>
      </c>
    </row>
    <row r="10" spans="1:11" s="1" customFormat="1" ht="20.85" customHeight="1" x14ac:dyDescent="0.25">
      <c r="A10" s="13"/>
      <c r="B10" s="85"/>
      <c r="C10" s="13" t="s">
        <v>218</v>
      </c>
      <c r="D10" s="13" t="s">
        <v>1</v>
      </c>
      <c r="E10" s="14">
        <v>3141000</v>
      </c>
      <c r="F10" s="14">
        <f t="shared" si="0"/>
        <v>2713824</v>
      </c>
      <c r="G10" s="14">
        <f t="shared" si="1"/>
        <v>3053052</v>
      </c>
      <c r="H10" s="14">
        <f t="shared" si="2"/>
        <v>3392280</v>
      </c>
      <c r="I10" s="9">
        <f t="shared" si="3"/>
        <v>2204982</v>
      </c>
    </row>
    <row r="11" spans="1:11" s="1" customFormat="1" ht="20.85" customHeight="1" x14ac:dyDescent="0.25">
      <c r="A11" s="13">
        <v>8</v>
      </c>
      <c r="B11" s="85"/>
      <c r="C11" s="16" t="s">
        <v>2</v>
      </c>
      <c r="D11" s="16" t="s">
        <v>1</v>
      </c>
      <c r="E11" s="17">
        <v>3810000</v>
      </c>
      <c r="F11" s="17">
        <f t="shared" si="0"/>
        <v>3291840</v>
      </c>
      <c r="G11" s="17">
        <f t="shared" si="1"/>
        <v>3703320.0000000005</v>
      </c>
      <c r="H11" s="17">
        <f t="shared" si="2"/>
        <v>4114800.0000000005</v>
      </c>
      <c r="I11" s="20">
        <f t="shared" si="3"/>
        <v>2674620</v>
      </c>
    </row>
    <row r="12" spans="1:11" s="1" customFormat="1" ht="20.85" customHeight="1" x14ac:dyDescent="0.25">
      <c r="A12" s="13">
        <v>9</v>
      </c>
      <c r="B12" s="85"/>
      <c r="C12" s="13" t="s">
        <v>3</v>
      </c>
      <c r="D12" s="13" t="s">
        <v>1</v>
      </c>
      <c r="E12" s="14">
        <v>5755000</v>
      </c>
      <c r="F12" s="14">
        <f t="shared" si="0"/>
        <v>4972320</v>
      </c>
      <c r="G12" s="14">
        <f t="shared" si="1"/>
        <v>5593860</v>
      </c>
      <c r="H12" s="14">
        <f t="shared" si="2"/>
        <v>6215400</v>
      </c>
      <c r="I12" s="9">
        <f t="shared" si="3"/>
        <v>4040010.0000000005</v>
      </c>
    </row>
    <row r="13" spans="1:11" s="1" customFormat="1" ht="20.85" customHeight="1" x14ac:dyDescent="0.25">
      <c r="A13" s="13">
        <v>10</v>
      </c>
      <c r="B13" s="85"/>
      <c r="C13" s="13" t="s">
        <v>4</v>
      </c>
      <c r="D13" s="13" t="s">
        <v>1</v>
      </c>
      <c r="E13" s="14">
        <v>7550000</v>
      </c>
      <c r="F13" s="14">
        <f t="shared" si="0"/>
        <v>6523200</v>
      </c>
      <c r="G13" s="14">
        <f t="shared" si="1"/>
        <v>7338600.0000000009</v>
      </c>
      <c r="H13" s="14">
        <f t="shared" si="2"/>
        <v>8154000.0000000009</v>
      </c>
      <c r="I13" s="9">
        <f t="shared" si="3"/>
        <v>5300100</v>
      </c>
    </row>
    <row r="14" spans="1:11" s="1" customFormat="1" ht="20.85" customHeight="1" x14ac:dyDescent="0.25">
      <c r="A14" s="13">
        <v>11</v>
      </c>
      <c r="B14" s="85"/>
      <c r="C14" s="13" t="s">
        <v>5</v>
      </c>
      <c r="D14" s="13" t="s">
        <v>1</v>
      </c>
      <c r="E14" s="14">
        <v>10940000</v>
      </c>
      <c r="F14" s="14">
        <f t="shared" si="0"/>
        <v>9452160</v>
      </c>
      <c r="G14" s="14">
        <f t="shared" si="1"/>
        <v>10633680</v>
      </c>
      <c r="H14" s="14">
        <f t="shared" si="2"/>
        <v>11815200</v>
      </c>
      <c r="I14" s="9">
        <f t="shared" si="3"/>
        <v>7679880.0000000009</v>
      </c>
    </row>
    <row r="15" spans="1:11" s="1" customFormat="1" ht="20.85" customHeight="1" x14ac:dyDescent="0.25">
      <c r="A15" s="13">
        <v>12</v>
      </c>
      <c r="B15" s="85"/>
      <c r="C15" s="13" t="s">
        <v>6</v>
      </c>
      <c r="D15" s="13" t="s">
        <v>1</v>
      </c>
      <c r="E15" s="14">
        <v>16950000</v>
      </c>
      <c r="F15" s="14">
        <f t="shared" si="0"/>
        <v>14644800.000000002</v>
      </c>
      <c r="G15" s="14">
        <f t="shared" si="1"/>
        <v>16475400.000000002</v>
      </c>
      <c r="H15" s="14">
        <f t="shared" si="2"/>
        <v>18306000</v>
      </c>
      <c r="I15" s="9">
        <f t="shared" si="3"/>
        <v>11898900</v>
      </c>
    </row>
    <row r="16" spans="1:11" ht="18.399999999999999" customHeight="1" x14ac:dyDescent="0.25"/>
    <row r="17" spans="1:9" ht="19.149999999999999" customHeight="1" x14ac:dyDescent="0.25">
      <c r="A17" s="81" t="s">
        <v>26</v>
      </c>
      <c r="B17" s="81"/>
      <c r="C17" s="81"/>
      <c r="D17" s="2"/>
      <c r="E17" s="76" t="s">
        <v>14</v>
      </c>
      <c r="F17" s="3" t="s">
        <v>10</v>
      </c>
      <c r="G17" s="3" t="s">
        <v>11</v>
      </c>
      <c r="H17" s="3" t="s">
        <v>12</v>
      </c>
      <c r="I17" s="4" t="s">
        <v>13</v>
      </c>
    </row>
    <row r="18" spans="1:9" ht="28.5" customHeight="1" x14ac:dyDescent="0.25">
      <c r="A18" s="81"/>
      <c r="B18" s="81"/>
      <c r="C18" s="81"/>
      <c r="D18" s="2"/>
      <c r="E18" s="82"/>
      <c r="F18" s="5">
        <v>0.2</v>
      </c>
      <c r="G18" s="5">
        <v>0.1</v>
      </c>
      <c r="H18" s="5">
        <v>0</v>
      </c>
      <c r="I18" s="6">
        <v>0.35</v>
      </c>
    </row>
    <row r="19" spans="1:9" ht="17.850000000000001" customHeight="1" x14ac:dyDescent="0.25">
      <c r="A19" s="7">
        <v>1</v>
      </c>
      <c r="B19" s="78" t="s">
        <v>28</v>
      </c>
      <c r="C19" s="7" t="s">
        <v>29</v>
      </c>
      <c r="D19" s="7" t="s">
        <v>30</v>
      </c>
      <c r="E19" s="8">
        <v>1605000</v>
      </c>
      <c r="F19" s="8">
        <f>E19*(1-0.2)*1.08</f>
        <v>1386720</v>
      </c>
      <c r="G19" s="8">
        <f>E19*1.08*(1-0.1)</f>
        <v>1560060</v>
      </c>
      <c r="H19" s="8">
        <f>E19*(1+0)*1.08</f>
        <v>1733400</v>
      </c>
      <c r="I19" s="9">
        <f>(E19*0.65)*1.08</f>
        <v>1126710</v>
      </c>
    </row>
    <row r="20" spans="1:9" ht="17.850000000000001" customHeight="1" x14ac:dyDescent="0.25">
      <c r="A20" s="7">
        <v>2</v>
      </c>
      <c r="B20" s="78"/>
      <c r="C20" s="7" t="s">
        <v>31</v>
      </c>
      <c r="D20" s="7" t="s">
        <v>30</v>
      </c>
      <c r="E20" s="8">
        <v>2210000</v>
      </c>
      <c r="F20" s="8">
        <f t="shared" ref="F20:F26" si="4">E20*(1-0.2)*1.08</f>
        <v>1909440.0000000002</v>
      </c>
      <c r="G20" s="8">
        <f t="shared" ref="G20:G26" si="5">E20*1.08*(1-0.1)</f>
        <v>2148120</v>
      </c>
      <c r="H20" s="8">
        <f t="shared" ref="H20:H26" si="6">E20*(1+0)*1.08</f>
        <v>2386800</v>
      </c>
      <c r="I20" s="9">
        <f t="shared" ref="I20:I26" si="7">(E20*0.65)*1.08</f>
        <v>1551420</v>
      </c>
    </row>
    <row r="21" spans="1:9" ht="17.850000000000001" customHeight="1" x14ac:dyDescent="0.25">
      <c r="A21" s="7">
        <v>3</v>
      </c>
      <c r="B21" s="78"/>
      <c r="C21" s="7" t="s">
        <v>32</v>
      </c>
      <c r="D21" s="7" t="s">
        <v>30</v>
      </c>
      <c r="E21" s="8">
        <v>3255000</v>
      </c>
      <c r="F21" s="8">
        <f t="shared" si="4"/>
        <v>2812320</v>
      </c>
      <c r="G21" s="8">
        <f t="shared" si="5"/>
        <v>3163860</v>
      </c>
      <c r="H21" s="8">
        <f t="shared" si="6"/>
        <v>3515400</v>
      </c>
      <c r="I21" s="9">
        <f t="shared" si="7"/>
        <v>2285010</v>
      </c>
    </row>
    <row r="22" spans="1:9" ht="17.850000000000001" customHeight="1" x14ac:dyDescent="0.25">
      <c r="A22" s="7">
        <v>4</v>
      </c>
      <c r="B22" s="78"/>
      <c r="C22" s="7" t="s">
        <v>33</v>
      </c>
      <c r="D22" s="7" t="s">
        <v>30</v>
      </c>
      <c r="E22" s="8">
        <v>4330000</v>
      </c>
      <c r="F22" s="8">
        <f t="shared" si="4"/>
        <v>3741120.0000000005</v>
      </c>
      <c r="G22" s="8">
        <f t="shared" si="5"/>
        <v>4208760</v>
      </c>
      <c r="H22" s="8">
        <f t="shared" si="6"/>
        <v>4676400</v>
      </c>
      <c r="I22" s="9">
        <f t="shared" si="7"/>
        <v>3039660</v>
      </c>
    </row>
    <row r="23" spans="1:9" ht="17.850000000000001" customHeight="1" x14ac:dyDescent="0.25">
      <c r="A23" s="7">
        <v>5</v>
      </c>
      <c r="B23" s="78"/>
      <c r="C23" s="7" t="s">
        <v>34</v>
      </c>
      <c r="D23" s="7" t="s">
        <v>30</v>
      </c>
      <c r="E23" s="8">
        <v>6410000</v>
      </c>
      <c r="F23" s="8">
        <f t="shared" si="4"/>
        <v>5538240</v>
      </c>
      <c r="G23" s="8">
        <f t="shared" si="5"/>
        <v>6230520</v>
      </c>
      <c r="H23" s="8">
        <f t="shared" si="6"/>
        <v>6922800</v>
      </c>
      <c r="I23" s="9">
        <f t="shared" si="7"/>
        <v>4499820</v>
      </c>
    </row>
    <row r="24" spans="1:9" ht="17.850000000000001" customHeight="1" x14ac:dyDescent="0.25">
      <c r="A24" s="7">
        <v>6</v>
      </c>
      <c r="B24" s="78"/>
      <c r="C24" s="7" t="s">
        <v>35</v>
      </c>
      <c r="D24" s="7" t="s">
        <v>30</v>
      </c>
      <c r="E24" s="8">
        <v>11890000</v>
      </c>
      <c r="F24" s="8">
        <f t="shared" si="4"/>
        <v>10272960</v>
      </c>
      <c r="G24" s="8">
        <f t="shared" si="5"/>
        <v>11557080</v>
      </c>
      <c r="H24" s="8">
        <f t="shared" si="6"/>
        <v>12841200</v>
      </c>
      <c r="I24" s="9">
        <f t="shared" si="7"/>
        <v>8346780.0000000009</v>
      </c>
    </row>
    <row r="25" spans="1:9" ht="17.850000000000001" customHeight="1" x14ac:dyDescent="0.25">
      <c r="A25" s="13">
        <v>7</v>
      </c>
      <c r="B25" s="83" t="s">
        <v>347</v>
      </c>
      <c r="C25" s="13" t="s">
        <v>36</v>
      </c>
      <c r="D25" s="13" t="s">
        <v>30</v>
      </c>
      <c r="E25" s="14">
        <v>1945000</v>
      </c>
      <c r="F25" s="14">
        <f t="shared" si="4"/>
        <v>1680480</v>
      </c>
      <c r="G25" s="14">
        <f t="shared" si="5"/>
        <v>1890540</v>
      </c>
      <c r="H25" s="14">
        <f t="shared" si="6"/>
        <v>2100600</v>
      </c>
      <c r="I25" s="9">
        <f t="shared" si="7"/>
        <v>1365390</v>
      </c>
    </row>
    <row r="26" spans="1:9" ht="17.850000000000001" customHeight="1" x14ac:dyDescent="0.25">
      <c r="A26" s="13">
        <v>8</v>
      </c>
      <c r="B26" s="84"/>
      <c r="C26" s="13" t="s">
        <v>37</v>
      </c>
      <c r="D26" s="13" t="s">
        <v>30</v>
      </c>
      <c r="E26" s="14">
        <v>3200000</v>
      </c>
      <c r="F26" s="14">
        <f t="shared" si="4"/>
        <v>2764800</v>
      </c>
      <c r="G26" s="14">
        <f t="shared" si="5"/>
        <v>3110400</v>
      </c>
      <c r="H26" s="14">
        <f t="shared" si="6"/>
        <v>3456000</v>
      </c>
      <c r="I26" s="9">
        <f t="shared" si="7"/>
        <v>2246400</v>
      </c>
    </row>
    <row r="28" spans="1:9" ht="19.899999999999999" customHeight="1" x14ac:dyDescent="0.25">
      <c r="A28" s="81" t="s">
        <v>255</v>
      </c>
      <c r="B28" s="81"/>
      <c r="C28" s="81"/>
      <c r="D28" s="81"/>
      <c r="E28" s="76" t="s">
        <v>14</v>
      </c>
      <c r="F28" s="3" t="s">
        <v>10</v>
      </c>
      <c r="G28" s="37" t="s">
        <v>11</v>
      </c>
      <c r="H28" s="3" t="s">
        <v>12</v>
      </c>
      <c r="I28" s="4" t="s">
        <v>13</v>
      </c>
    </row>
    <row r="29" spans="1:9" ht="19.899999999999999" customHeight="1" x14ac:dyDescent="0.25">
      <c r="A29" s="81"/>
      <c r="B29" s="81"/>
      <c r="C29" s="81"/>
      <c r="D29" s="81"/>
      <c r="E29" s="82"/>
      <c r="F29" s="41">
        <v>0.2</v>
      </c>
      <c r="G29" s="41">
        <v>0.1</v>
      </c>
      <c r="H29" s="41">
        <v>0</v>
      </c>
      <c r="I29" s="6">
        <v>0.35</v>
      </c>
    </row>
    <row r="30" spans="1:9" x14ac:dyDescent="0.25">
      <c r="A30" s="12">
        <v>1</v>
      </c>
      <c r="B30" s="78" t="s">
        <v>217</v>
      </c>
      <c r="C30" s="7" t="s">
        <v>29</v>
      </c>
      <c r="D30" s="7" t="s">
        <v>30</v>
      </c>
      <c r="E30" s="8">
        <v>2400000</v>
      </c>
      <c r="F30" s="8">
        <f>E30*(1-0.2)*1.08</f>
        <v>2073600.0000000002</v>
      </c>
      <c r="G30" s="8">
        <f>E30*(1-0.1)*1.08</f>
        <v>2332800</v>
      </c>
      <c r="H30" s="8">
        <f>E30*(1+0)*1.08</f>
        <v>2592000</v>
      </c>
      <c r="I30" s="9">
        <f>(E30*0.65)*1.08</f>
        <v>1684800</v>
      </c>
    </row>
    <row r="31" spans="1:9" x14ac:dyDescent="0.25">
      <c r="A31" s="7">
        <v>2</v>
      </c>
      <c r="B31" s="88"/>
      <c r="C31" s="7" t="s">
        <v>218</v>
      </c>
      <c r="D31" s="7" t="s">
        <v>30</v>
      </c>
      <c r="E31" s="8">
        <v>2800000</v>
      </c>
      <c r="F31" s="8">
        <f t="shared" ref="F31:F43" si="8">E31*(1-0.2)*1.08</f>
        <v>2419200</v>
      </c>
      <c r="G31" s="8">
        <f t="shared" ref="G31:G43" si="9">E31*(1-0.1)*1.08</f>
        <v>2721600</v>
      </c>
      <c r="H31" s="8">
        <f t="shared" ref="H31:H43" si="10">E31*(1+0)*1.08</f>
        <v>3024000</v>
      </c>
      <c r="I31" s="9">
        <f t="shared" ref="I31:I43" si="11">(E31*0.65)*1.08</f>
        <v>1965600.0000000002</v>
      </c>
    </row>
    <row r="32" spans="1:9" x14ac:dyDescent="0.25">
      <c r="A32" s="7">
        <v>3</v>
      </c>
      <c r="B32" s="88"/>
      <c r="C32" s="7" t="s">
        <v>212</v>
      </c>
      <c r="D32" s="10" t="s">
        <v>30</v>
      </c>
      <c r="E32" s="11">
        <v>3580000</v>
      </c>
      <c r="F32" s="11">
        <f t="shared" si="8"/>
        <v>3093120</v>
      </c>
      <c r="G32" s="11">
        <f t="shared" si="9"/>
        <v>3479760</v>
      </c>
      <c r="H32" s="11">
        <f t="shared" si="10"/>
        <v>3866400.0000000005</v>
      </c>
      <c r="I32" s="20">
        <f t="shared" si="11"/>
        <v>2513160</v>
      </c>
    </row>
    <row r="33" spans="1:9" x14ac:dyDescent="0.25">
      <c r="A33" s="7">
        <v>4</v>
      </c>
      <c r="B33" s="88"/>
      <c r="C33" s="7" t="s">
        <v>213</v>
      </c>
      <c r="D33" s="7" t="s">
        <v>30</v>
      </c>
      <c r="E33" s="8">
        <v>5380000</v>
      </c>
      <c r="F33" s="8">
        <f t="shared" si="8"/>
        <v>4648320</v>
      </c>
      <c r="G33" s="8">
        <f t="shared" si="9"/>
        <v>5229360</v>
      </c>
      <c r="H33" s="8">
        <f t="shared" si="10"/>
        <v>5810400</v>
      </c>
      <c r="I33" s="9">
        <f t="shared" si="11"/>
        <v>3776760.0000000005</v>
      </c>
    </row>
    <row r="34" spans="1:9" x14ac:dyDescent="0.25">
      <c r="A34" s="7">
        <v>5</v>
      </c>
      <c r="B34" s="88"/>
      <c r="C34" s="7" t="s">
        <v>214</v>
      </c>
      <c r="D34" s="7" t="s">
        <v>30</v>
      </c>
      <c r="E34" s="8">
        <v>7180000</v>
      </c>
      <c r="F34" s="8">
        <f t="shared" si="8"/>
        <v>6203520</v>
      </c>
      <c r="G34" s="8">
        <f t="shared" si="9"/>
        <v>6978960</v>
      </c>
      <c r="H34" s="8">
        <f t="shared" si="10"/>
        <v>7754400.0000000009</v>
      </c>
      <c r="I34" s="9">
        <f t="shared" si="11"/>
        <v>5040360</v>
      </c>
    </row>
    <row r="35" spans="1:9" x14ac:dyDescent="0.25">
      <c r="A35" s="7">
        <v>6</v>
      </c>
      <c r="B35" s="88"/>
      <c r="C35" s="7" t="s">
        <v>215</v>
      </c>
      <c r="D35" s="7" t="s">
        <v>30</v>
      </c>
      <c r="E35" s="8">
        <v>11670000</v>
      </c>
      <c r="F35" s="8">
        <f t="shared" si="8"/>
        <v>10082880</v>
      </c>
      <c r="G35" s="8">
        <f t="shared" si="9"/>
        <v>11343240</v>
      </c>
      <c r="H35" s="8">
        <f t="shared" si="10"/>
        <v>12603600</v>
      </c>
      <c r="I35" s="9">
        <f t="shared" si="11"/>
        <v>8192340.0000000009</v>
      </c>
    </row>
    <row r="36" spans="1:9" x14ac:dyDescent="0.25">
      <c r="A36" s="7">
        <v>7</v>
      </c>
      <c r="B36" s="88"/>
      <c r="C36" s="7" t="s">
        <v>216</v>
      </c>
      <c r="D36" s="7" t="s">
        <v>30</v>
      </c>
      <c r="E36" s="8">
        <v>19250000</v>
      </c>
      <c r="F36" s="8">
        <f t="shared" si="8"/>
        <v>16632000.000000002</v>
      </c>
      <c r="G36" s="8">
        <f t="shared" si="9"/>
        <v>18711000</v>
      </c>
      <c r="H36" s="8">
        <f t="shared" si="10"/>
        <v>20790000</v>
      </c>
      <c r="I36" s="9">
        <f t="shared" si="11"/>
        <v>13513500</v>
      </c>
    </row>
    <row r="37" spans="1:9" x14ac:dyDescent="0.25">
      <c r="A37" s="42">
        <v>1</v>
      </c>
      <c r="B37" s="89" t="s">
        <v>219</v>
      </c>
      <c r="C37" s="38" t="s">
        <v>29</v>
      </c>
      <c r="D37" s="38" t="s">
        <v>30</v>
      </c>
      <c r="E37" s="39">
        <v>2670000</v>
      </c>
      <c r="F37" s="14">
        <f t="shared" si="8"/>
        <v>2306880</v>
      </c>
      <c r="G37" s="14">
        <f t="shared" si="9"/>
        <v>2595240</v>
      </c>
      <c r="H37" s="14">
        <f t="shared" si="10"/>
        <v>2883600</v>
      </c>
      <c r="I37" s="9">
        <f t="shared" si="11"/>
        <v>1874340.0000000002</v>
      </c>
    </row>
    <row r="38" spans="1:9" x14ac:dyDescent="0.25">
      <c r="A38" s="38">
        <v>2</v>
      </c>
      <c r="B38" s="90"/>
      <c r="C38" s="38" t="s">
        <v>218</v>
      </c>
      <c r="D38" s="38" t="s">
        <v>30</v>
      </c>
      <c r="E38" s="39">
        <v>3050000</v>
      </c>
      <c r="F38" s="14">
        <f t="shared" si="8"/>
        <v>2635200</v>
      </c>
      <c r="G38" s="14">
        <f t="shared" si="9"/>
        <v>2964600</v>
      </c>
      <c r="H38" s="14">
        <f t="shared" si="10"/>
        <v>3294000</v>
      </c>
      <c r="I38" s="9">
        <f t="shared" si="11"/>
        <v>2141100</v>
      </c>
    </row>
    <row r="39" spans="1:9" x14ac:dyDescent="0.25">
      <c r="A39" s="38">
        <v>3</v>
      </c>
      <c r="B39" s="90"/>
      <c r="C39" s="38" t="s">
        <v>212</v>
      </c>
      <c r="D39" s="40" t="s">
        <v>30</v>
      </c>
      <c r="E39" s="50">
        <v>3860000</v>
      </c>
      <c r="F39" s="17">
        <f t="shared" si="8"/>
        <v>3335040</v>
      </c>
      <c r="G39" s="17">
        <f t="shared" si="9"/>
        <v>3751920.0000000005</v>
      </c>
      <c r="H39" s="17">
        <f t="shared" si="10"/>
        <v>4168800.0000000005</v>
      </c>
      <c r="I39" s="20">
        <f t="shared" si="11"/>
        <v>2709720</v>
      </c>
    </row>
    <row r="40" spans="1:9" x14ac:dyDescent="0.25">
      <c r="A40" s="38">
        <v>4</v>
      </c>
      <c r="B40" s="90"/>
      <c r="C40" s="38" t="s">
        <v>213</v>
      </c>
      <c r="D40" s="38" t="s">
        <v>30</v>
      </c>
      <c r="E40" s="39">
        <v>5750000</v>
      </c>
      <c r="F40" s="14">
        <f t="shared" si="8"/>
        <v>4968000</v>
      </c>
      <c r="G40" s="14">
        <f t="shared" si="9"/>
        <v>5589000</v>
      </c>
      <c r="H40" s="14">
        <f t="shared" si="10"/>
        <v>6210000</v>
      </c>
      <c r="I40" s="9">
        <f t="shared" si="11"/>
        <v>4036500.0000000005</v>
      </c>
    </row>
    <row r="41" spans="1:9" x14ac:dyDescent="0.25">
      <c r="A41" s="38">
        <v>5</v>
      </c>
      <c r="B41" s="90"/>
      <c r="C41" s="38" t="s">
        <v>214</v>
      </c>
      <c r="D41" s="38" t="s">
        <v>30</v>
      </c>
      <c r="E41" s="39">
        <v>7610000</v>
      </c>
      <c r="F41" s="14">
        <f t="shared" si="8"/>
        <v>6575040</v>
      </c>
      <c r="G41" s="14">
        <f t="shared" si="9"/>
        <v>7396920.0000000009</v>
      </c>
      <c r="H41" s="14">
        <f t="shared" si="10"/>
        <v>8218800.0000000009</v>
      </c>
      <c r="I41" s="9">
        <f t="shared" si="11"/>
        <v>5342220</v>
      </c>
    </row>
    <row r="42" spans="1:9" x14ac:dyDescent="0.25">
      <c r="A42" s="38">
        <v>6</v>
      </c>
      <c r="B42" s="90"/>
      <c r="C42" s="38" t="s">
        <v>215</v>
      </c>
      <c r="D42" s="38" t="s">
        <v>30</v>
      </c>
      <c r="E42" s="39">
        <v>12040000</v>
      </c>
      <c r="F42" s="14">
        <f t="shared" si="8"/>
        <v>10402560</v>
      </c>
      <c r="G42" s="14">
        <f t="shared" si="9"/>
        <v>11702880</v>
      </c>
      <c r="H42" s="14">
        <f t="shared" si="10"/>
        <v>13003200</v>
      </c>
      <c r="I42" s="9">
        <f t="shared" si="11"/>
        <v>8452080</v>
      </c>
    </row>
    <row r="43" spans="1:9" x14ac:dyDescent="0.25">
      <c r="A43" s="38">
        <v>7</v>
      </c>
      <c r="B43" s="90"/>
      <c r="C43" s="38" t="s">
        <v>216</v>
      </c>
      <c r="D43" s="38" t="s">
        <v>30</v>
      </c>
      <c r="E43" s="39">
        <v>20000000</v>
      </c>
      <c r="F43" s="14">
        <f t="shared" si="8"/>
        <v>17280000</v>
      </c>
      <c r="G43" s="14">
        <f t="shared" si="9"/>
        <v>19440000</v>
      </c>
      <c r="H43" s="14">
        <f t="shared" si="10"/>
        <v>21600000</v>
      </c>
      <c r="I43" s="9">
        <f t="shared" si="11"/>
        <v>14040000</v>
      </c>
    </row>
    <row r="44" spans="1:9" hidden="1" x14ac:dyDescent="0.25"/>
    <row r="45" spans="1:9" ht="19.899999999999999" hidden="1" customHeight="1" x14ac:dyDescent="0.25">
      <c r="A45" s="81" t="s">
        <v>273</v>
      </c>
      <c r="B45" s="81"/>
      <c r="C45" s="81"/>
      <c r="D45" s="81"/>
      <c r="E45" s="76" t="s">
        <v>14</v>
      </c>
      <c r="F45" s="3" t="s">
        <v>10</v>
      </c>
      <c r="G45" s="37" t="s">
        <v>11</v>
      </c>
      <c r="H45" s="3" t="s">
        <v>12</v>
      </c>
      <c r="I45" s="4" t="s">
        <v>13</v>
      </c>
    </row>
    <row r="46" spans="1:9" ht="19.899999999999999" hidden="1" customHeight="1" x14ac:dyDescent="0.25">
      <c r="A46" s="81"/>
      <c r="B46" s="81"/>
      <c r="C46" s="81"/>
      <c r="D46" s="81"/>
      <c r="E46" s="82"/>
      <c r="F46" s="41">
        <v>0.23</v>
      </c>
      <c r="G46" s="41">
        <v>0.13</v>
      </c>
      <c r="H46" s="41">
        <v>0.03</v>
      </c>
      <c r="I46" s="6">
        <v>0.35</v>
      </c>
    </row>
    <row r="47" spans="1:9" ht="17.25" hidden="1" customHeight="1" x14ac:dyDescent="0.25">
      <c r="A47" s="12">
        <v>1</v>
      </c>
      <c r="B47" s="86" t="s">
        <v>252</v>
      </c>
      <c r="C47" s="87"/>
      <c r="D47" s="7" t="s">
        <v>30</v>
      </c>
      <c r="E47" s="8">
        <v>3500000</v>
      </c>
      <c r="F47" s="8">
        <v>3024000</v>
      </c>
      <c r="G47" s="8">
        <v>3402000</v>
      </c>
      <c r="H47" s="8">
        <v>3780000</v>
      </c>
      <c r="I47" s="8">
        <f>(E47*0.65)*1.08</f>
        <v>2457000</v>
      </c>
    </row>
    <row r="48" spans="1:9" ht="17.25" hidden="1" customHeight="1" x14ac:dyDescent="0.25">
      <c r="A48" s="7">
        <v>2</v>
      </c>
      <c r="B48" s="86" t="s">
        <v>253</v>
      </c>
      <c r="C48" s="87"/>
      <c r="D48" s="7" t="s">
        <v>30</v>
      </c>
      <c r="E48" s="8">
        <v>4660000</v>
      </c>
      <c r="F48" s="8">
        <v>4026260</v>
      </c>
      <c r="G48" s="8">
        <v>4529520</v>
      </c>
      <c r="H48" s="8">
        <v>5032800</v>
      </c>
      <c r="I48" s="8">
        <f>(E48*0.65)*1.08</f>
        <v>3271320</v>
      </c>
    </row>
    <row r="49" spans="1:9" ht="17.25" hidden="1" customHeight="1" x14ac:dyDescent="0.25">
      <c r="A49" s="7">
        <v>3</v>
      </c>
      <c r="B49" s="86" t="s">
        <v>254</v>
      </c>
      <c r="C49" s="87"/>
      <c r="D49" s="7" t="s">
        <v>30</v>
      </c>
      <c r="E49" s="8">
        <v>6870000</v>
      </c>
      <c r="F49" s="8">
        <v>5935680</v>
      </c>
      <c r="G49" s="8">
        <v>6677640</v>
      </c>
      <c r="H49" s="8">
        <v>7419600</v>
      </c>
      <c r="I49" s="8">
        <f>(E49*0.65)*1.08</f>
        <v>4822740</v>
      </c>
    </row>
  </sheetData>
  <mergeCells count="19">
    <mergeCell ref="B49:C49"/>
    <mergeCell ref="E28:E29"/>
    <mergeCell ref="B30:B36"/>
    <mergeCell ref="B37:B43"/>
    <mergeCell ref="A28:C29"/>
    <mergeCell ref="D28:D29"/>
    <mergeCell ref="A45:C46"/>
    <mergeCell ref="D45:D46"/>
    <mergeCell ref="E45:E46"/>
    <mergeCell ref="B47:C47"/>
    <mergeCell ref="B48:C48"/>
    <mergeCell ref="B25:B26"/>
    <mergeCell ref="B3:B8"/>
    <mergeCell ref="B9:B15"/>
    <mergeCell ref="A1:C2"/>
    <mergeCell ref="E1:E2"/>
    <mergeCell ref="A17:C18"/>
    <mergeCell ref="E17:E18"/>
    <mergeCell ref="B19:B24"/>
  </mergeCells>
  <pageMargins left="0.7" right="0.7" top="0.75" bottom="0.75" header="0.3" footer="0.3"/>
  <pageSetup scale="67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view="pageBreakPreview" topLeftCell="A2" zoomScaleNormal="100" zoomScaleSheetLayoutView="100" workbookViewId="0">
      <selection activeCell="F17" sqref="F17"/>
    </sheetView>
  </sheetViews>
  <sheetFormatPr defaultRowHeight="15" x14ac:dyDescent="0.25"/>
  <cols>
    <col min="2" max="2" width="14.42578125" customWidth="1"/>
    <col min="3" max="3" width="57.85546875" customWidth="1"/>
    <col min="4" max="4" width="6.5703125" customWidth="1"/>
    <col min="5" max="8" width="11.5703125" customWidth="1"/>
    <col min="9" max="9" width="13.85546875" hidden="1" customWidth="1"/>
    <col min="10" max="10" width="16.85546875" customWidth="1"/>
  </cols>
  <sheetData>
    <row r="1" spans="1:10" ht="26.25" customHeight="1" x14ac:dyDescent="0.25">
      <c r="A1" s="81" t="s">
        <v>250</v>
      </c>
      <c r="B1" s="81"/>
      <c r="C1" s="81"/>
      <c r="D1" s="2"/>
      <c r="E1" s="76" t="s">
        <v>14</v>
      </c>
      <c r="F1" s="3" t="s">
        <v>10</v>
      </c>
      <c r="G1" s="3" t="s">
        <v>11</v>
      </c>
      <c r="H1" s="3" t="s">
        <v>12</v>
      </c>
      <c r="I1" s="21" t="s">
        <v>13</v>
      </c>
      <c r="J1" s="4" t="s">
        <v>13</v>
      </c>
    </row>
    <row r="2" spans="1:10" ht="18" customHeight="1" x14ac:dyDescent="0.25">
      <c r="A2" s="81"/>
      <c r="B2" s="81"/>
      <c r="C2" s="81"/>
      <c r="D2" s="2"/>
      <c r="E2" s="82"/>
      <c r="F2" s="5">
        <v>0.2</v>
      </c>
      <c r="G2" s="5">
        <v>0.1</v>
      </c>
      <c r="H2" s="5">
        <v>0</v>
      </c>
      <c r="I2" s="22">
        <v>0.35</v>
      </c>
      <c r="J2" s="6">
        <v>0.35</v>
      </c>
    </row>
    <row r="3" spans="1:10" s="1" customFormat="1" ht="20.85" customHeight="1" x14ac:dyDescent="0.25">
      <c r="A3" s="7">
        <v>1</v>
      </c>
      <c r="B3" s="78" t="s">
        <v>251</v>
      </c>
      <c r="C3" s="10" t="s">
        <v>252</v>
      </c>
      <c r="D3" s="10"/>
      <c r="E3" s="11">
        <v>3500000</v>
      </c>
      <c r="F3" s="11">
        <f>(E3*(1-0.2))*1.08</f>
        <v>3024000</v>
      </c>
      <c r="G3" s="11">
        <f>(E3*(1-0.1))*1.08</f>
        <v>3402000</v>
      </c>
      <c r="H3" s="11">
        <f>(E3*(1-0))*1.08</f>
        <v>3780000.0000000005</v>
      </c>
      <c r="I3" s="11">
        <v>2937600</v>
      </c>
      <c r="J3" s="9">
        <f>(E3*0.65)*1.08</f>
        <v>2457000</v>
      </c>
    </row>
    <row r="4" spans="1:10" s="1" customFormat="1" ht="20.85" customHeight="1" x14ac:dyDescent="0.25">
      <c r="A4" s="7">
        <v>2</v>
      </c>
      <c r="B4" s="78"/>
      <c r="C4" s="10" t="s">
        <v>253</v>
      </c>
      <c r="D4" s="10"/>
      <c r="E4" s="11">
        <v>4660000</v>
      </c>
      <c r="F4" s="11">
        <f t="shared" ref="F4:F5" si="0">(E4*(1-0.2))*1.08</f>
        <v>4026240.0000000005</v>
      </c>
      <c r="G4" s="11">
        <f t="shared" ref="G4:G5" si="1">(E4*(1-0.1))*1.08</f>
        <v>4529520</v>
      </c>
      <c r="H4" s="11">
        <f t="shared" ref="H4:H5" si="2">(E4*(1-0))*1.08</f>
        <v>5032800</v>
      </c>
      <c r="I4" s="11">
        <v>3888000</v>
      </c>
      <c r="J4" s="9">
        <f t="shared" ref="J4:J5" si="3">(E4*0.65)*1.08</f>
        <v>3271320</v>
      </c>
    </row>
    <row r="5" spans="1:10" s="1" customFormat="1" ht="20.85" customHeight="1" x14ac:dyDescent="0.25">
      <c r="A5" s="7">
        <v>3</v>
      </c>
      <c r="B5" s="78"/>
      <c r="C5" s="10" t="s">
        <v>254</v>
      </c>
      <c r="D5" s="10"/>
      <c r="E5" s="11">
        <v>6870000</v>
      </c>
      <c r="F5" s="11">
        <f t="shared" si="0"/>
        <v>5935680</v>
      </c>
      <c r="G5" s="11">
        <f t="shared" si="1"/>
        <v>6677640</v>
      </c>
      <c r="H5" s="11">
        <f t="shared" si="2"/>
        <v>7419600.0000000009</v>
      </c>
      <c r="I5" s="11">
        <v>5745600</v>
      </c>
      <c r="J5" s="9">
        <f t="shared" si="3"/>
        <v>4822740</v>
      </c>
    </row>
    <row r="6" spans="1:10" x14ac:dyDescent="0.25">
      <c r="J6" s="24"/>
    </row>
    <row r="7" spans="1:10" x14ac:dyDescent="0.25">
      <c r="A7" s="81" t="s">
        <v>274</v>
      </c>
      <c r="B7" s="81"/>
      <c r="C7" s="81"/>
      <c r="D7" s="81"/>
      <c r="E7" s="76" t="s">
        <v>14</v>
      </c>
      <c r="F7" s="3" t="s">
        <v>10</v>
      </c>
      <c r="G7" s="37" t="s">
        <v>11</v>
      </c>
      <c r="H7" s="3" t="s">
        <v>12</v>
      </c>
      <c r="I7" s="4"/>
      <c r="J7" s="24"/>
    </row>
    <row r="8" spans="1:10" ht="30" customHeight="1" x14ac:dyDescent="0.25">
      <c r="A8" s="81"/>
      <c r="B8" s="81"/>
      <c r="C8" s="81"/>
      <c r="D8" s="81"/>
      <c r="E8" s="82"/>
      <c r="F8" s="41">
        <v>0.2</v>
      </c>
      <c r="G8" s="41">
        <v>0.1</v>
      </c>
      <c r="H8" s="41">
        <v>0</v>
      </c>
      <c r="I8" s="6"/>
      <c r="J8" s="24"/>
    </row>
    <row r="9" spans="1:10" ht="14.25" customHeight="1" x14ac:dyDescent="0.25">
      <c r="A9" s="12">
        <v>1</v>
      </c>
      <c r="B9" s="86" t="s">
        <v>275</v>
      </c>
      <c r="C9" s="87"/>
      <c r="D9" s="7" t="s">
        <v>30</v>
      </c>
      <c r="E9" s="8">
        <v>80400</v>
      </c>
      <c r="F9" s="8">
        <f>(E9*(1-0.2+1.5%))*1.08</f>
        <v>70768.080000000016</v>
      </c>
      <c r="G9" s="8">
        <f>(E9*(1-0.1+1.5%))*1.08</f>
        <v>79451.28</v>
      </c>
      <c r="H9" s="8">
        <f>(E9*(1-0+1.5%))*1.08</f>
        <v>88134.48</v>
      </c>
      <c r="I9" s="8"/>
      <c r="J9" s="24"/>
    </row>
    <row r="10" spans="1:10" x14ac:dyDescent="0.25">
      <c r="A10" s="7">
        <v>2</v>
      </c>
      <c r="B10" s="86" t="s">
        <v>276</v>
      </c>
      <c r="C10" s="87"/>
      <c r="D10" s="7" t="s">
        <v>30</v>
      </c>
      <c r="E10" s="8">
        <v>118700</v>
      </c>
      <c r="F10" s="8">
        <f t="shared" ref="F10:F19" si="4">(E10*(1-0.2+1.5%))*1.08</f>
        <v>104479.74</v>
      </c>
      <c r="G10" s="8">
        <f t="shared" ref="G10:G19" si="5">(E10*(1-0.1+1.5%))*1.08</f>
        <v>117299.34000000001</v>
      </c>
      <c r="H10" s="8">
        <f t="shared" ref="H10:H19" si="6">(E10*(1-0+1.5%))*1.08</f>
        <v>130118.93999999999</v>
      </c>
      <c r="I10" s="8"/>
      <c r="J10" s="24"/>
    </row>
    <row r="11" spans="1:10" x14ac:dyDescent="0.25">
      <c r="A11" s="12">
        <v>3</v>
      </c>
      <c r="B11" s="86" t="s">
        <v>277</v>
      </c>
      <c r="C11" s="87"/>
      <c r="D11" s="7" t="s">
        <v>30</v>
      </c>
      <c r="E11" s="8">
        <v>103300</v>
      </c>
      <c r="F11" s="8">
        <f t="shared" si="4"/>
        <v>90924.66</v>
      </c>
      <c r="G11" s="8">
        <f t="shared" si="5"/>
        <v>102081.06000000001</v>
      </c>
      <c r="H11" s="8">
        <f t="shared" si="6"/>
        <v>113237.45999999999</v>
      </c>
      <c r="I11" s="8"/>
    </row>
    <row r="12" spans="1:10" x14ac:dyDescent="0.25">
      <c r="A12" s="7">
        <v>4</v>
      </c>
      <c r="B12" s="86" t="s">
        <v>278</v>
      </c>
      <c r="C12" s="87"/>
      <c r="D12" s="7" t="s">
        <v>30</v>
      </c>
      <c r="E12" s="8">
        <v>87600</v>
      </c>
      <c r="F12" s="8">
        <f t="shared" si="4"/>
        <v>77105.52</v>
      </c>
      <c r="G12" s="8">
        <f t="shared" si="5"/>
        <v>86566.32</v>
      </c>
      <c r="H12" s="8">
        <f t="shared" si="6"/>
        <v>96027.12</v>
      </c>
      <c r="I12" s="8"/>
    </row>
    <row r="13" spans="1:10" x14ac:dyDescent="0.25">
      <c r="A13" s="12">
        <v>5</v>
      </c>
      <c r="B13" s="86" t="s">
        <v>279</v>
      </c>
      <c r="C13" s="87"/>
      <c r="D13" s="7" t="s">
        <v>30</v>
      </c>
      <c r="E13" s="8">
        <v>132000</v>
      </c>
      <c r="F13" s="8">
        <f t="shared" si="4"/>
        <v>116186.40000000002</v>
      </c>
      <c r="G13" s="8">
        <f t="shared" si="5"/>
        <v>130442.40000000001</v>
      </c>
      <c r="H13" s="8">
        <f t="shared" si="6"/>
        <v>144698.40000000002</v>
      </c>
      <c r="I13" s="8"/>
    </row>
    <row r="14" spans="1:10" x14ac:dyDescent="0.25">
      <c r="A14" s="7">
        <v>6</v>
      </c>
      <c r="B14" s="86" t="s">
        <v>280</v>
      </c>
      <c r="C14" s="87"/>
      <c r="D14" s="7" t="s">
        <v>30</v>
      </c>
      <c r="E14" s="8">
        <v>72500</v>
      </c>
      <c r="F14" s="8">
        <f t="shared" si="4"/>
        <v>63814.500000000015</v>
      </c>
      <c r="G14" s="8">
        <f t="shared" si="5"/>
        <v>71644.5</v>
      </c>
      <c r="H14" s="8">
        <f t="shared" si="6"/>
        <v>79474.5</v>
      </c>
      <c r="I14" s="8"/>
    </row>
    <row r="15" spans="1:10" x14ac:dyDescent="0.25">
      <c r="A15" s="12">
        <v>7</v>
      </c>
      <c r="B15" s="86" t="s">
        <v>281</v>
      </c>
      <c r="C15" s="87"/>
      <c r="D15" s="7" t="s">
        <v>30</v>
      </c>
      <c r="E15" s="8">
        <v>79200</v>
      </c>
      <c r="F15" s="8">
        <f t="shared" si="4"/>
        <v>69711.840000000011</v>
      </c>
      <c r="G15" s="8">
        <f t="shared" si="5"/>
        <v>78265.440000000002</v>
      </c>
      <c r="H15" s="8">
        <f t="shared" si="6"/>
        <v>86819.04</v>
      </c>
      <c r="I15" s="8"/>
    </row>
    <row r="16" spans="1:10" ht="14.25" customHeight="1" x14ac:dyDescent="0.25">
      <c r="A16" s="7">
        <v>8</v>
      </c>
      <c r="B16" s="86" t="s">
        <v>282</v>
      </c>
      <c r="C16" s="87"/>
      <c r="D16" s="23" t="s">
        <v>30</v>
      </c>
      <c r="E16" s="24">
        <v>79700</v>
      </c>
      <c r="F16" s="8">
        <f t="shared" si="4"/>
        <v>70151.940000000017</v>
      </c>
      <c r="G16" s="8">
        <f t="shared" si="5"/>
        <v>78759.540000000008</v>
      </c>
      <c r="H16" s="8">
        <f t="shared" si="6"/>
        <v>87367.139999999985</v>
      </c>
      <c r="I16" s="24"/>
    </row>
    <row r="17" spans="1:9" x14ac:dyDescent="0.25">
      <c r="A17" s="12">
        <v>9</v>
      </c>
      <c r="B17" s="86" t="s">
        <v>283</v>
      </c>
      <c r="C17" s="87"/>
      <c r="D17" s="23" t="s">
        <v>30</v>
      </c>
      <c r="E17" s="24">
        <v>79700</v>
      </c>
      <c r="F17" s="8">
        <f t="shared" si="4"/>
        <v>70151.940000000017</v>
      </c>
      <c r="G17" s="8">
        <f t="shared" si="5"/>
        <v>78759.540000000008</v>
      </c>
      <c r="H17" s="8">
        <f t="shared" si="6"/>
        <v>87367.139999999985</v>
      </c>
      <c r="I17" s="24"/>
    </row>
    <row r="18" spans="1:9" x14ac:dyDescent="0.25">
      <c r="A18" s="7">
        <v>10</v>
      </c>
      <c r="B18" s="86" t="s">
        <v>284</v>
      </c>
      <c r="C18" s="87"/>
      <c r="D18" s="23" t="s">
        <v>30</v>
      </c>
      <c r="E18" s="24">
        <v>90400</v>
      </c>
      <c r="F18" s="8">
        <f t="shared" si="4"/>
        <v>79570.080000000002</v>
      </c>
      <c r="G18" s="8">
        <f t="shared" si="5"/>
        <v>89333.28</v>
      </c>
      <c r="H18" s="8">
        <f t="shared" si="6"/>
        <v>99096.48</v>
      </c>
      <c r="I18" s="45"/>
    </row>
    <row r="19" spans="1:9" x14ac:dyDescent="0.25">
      <c r="A19" s="12">
        <v>11</v>
      </c>
      <c r="B19" s="86" t="s">
        <v>285</v>
      </c>
      <c r="C19" s="87"/>
      <c r="D19" s="23" t="s">
        <v>30</v>
      </c>
      <c r="E19" s="24">
        <v>90400</v>
      </c>
      <c r="F19" s="8">
        <f t="shared" si="4"/>
        <v>79570.080000000002</v>
      </c>
      <c r="G19" s="8">
        <f t="shared" si="5"/>
        <v>89333.28</v>
      </c>
      <c r="H19" s="8">
        <f t="shared" si="6"/>
        <v>99096.48</v>
      </c>
      <c r="I19" s="24"/>
    </row>
    <row r="22" spans="1:9" hidden="1" x14ac:dyDescent="0.25">
      <c r="F22" s="8">
        <v>76661</v>
      </c>
      <c r="G22" s="8">
        <v>87094</v>
      </c>
      <c r="H22" s="8">
        <v>88134</v>
      </c>
    </row>
    <row r="23" spans="1:9" hidden="1" x14ac:dyDescent="0.25">
      <c r="F23" s="8">
        <v>113179</v>
      </c>
      <c r="G23" s="8">
        <v>128584</v>
      </c>
      <c r="H23" s="8">
        <v>130119</v>
      </c>
    </row>
    <row r="24" spans="1:9" hidden="1" x14ac:dyDescent="0.25">
      <c r="F24" s="8">
        <v>98495</v>
      </c>
      <c r="G24" s="8">
        <v>111901</v>
      </c>
      <c r="H24" s="8">
        <v>113237</v>
      </c>
    </row>
    <row r="25" spans="1:9" hidden="1" x14ac:dyDescent="0.25">
      <c r="F25" s="8">
        <v>83526</v>
      </c>
      <c r="G25" s="8">
        <v>94894</v>
      </c>
      <c r="H25" s="8">
        <v>96027</v>
      </c>
    </row>
    <row r="26" spans="1:9" hidden="1" x14ac:dyDescent="0.25">
      <c r="F26" s="8">
        <v>125861</v>
      </c>
      <c r="G26" s="8">
        <v>142991</v>
      </c>
      <c r="H26" s="8">
        <v>144698</v>
      </c>
    </row>
    <row r="27" spans="1:9" hidden="1" x14ac:dyDescent="0.25">
      <c r="F27" s="8">
        <v>69128</v>
      </c>
      <c r="G27" s="8">
        <v>78537</v>
      </c>
      <c r="H27" s="8">
        <v>79475</v>
      </c>
    </row>
    <row r="28" spans="1:9" hidden="1" x14ac:dyDescent="0.25">
      <c r="F28" s="8">
        <v>75516</v>
      </c>
      <c r="G28" s="8">
        <v>85795</v>
      </c>
      <c r="H28" s="8">
        <v>86819</v>
      </c>
    </row>
    <row r="29" spans="1:9" hidden="1" x14ac:dyDescent="0.25">
      <c r="F29" s="8">
        <v>75993</v>
      </c>
      <c r="G29" s="8">
        <v>86336</v>
      </c>
      <c r="H29" s="8">
        <v>87367</v>
      </c>
    </row>
    <row r="30" spans="1:9" hidden="1" x14ac:dyDescent="0.25">
      <c r="F30" s="8">
        <v>75993</v>
      </c>
      <c r="G30" s="8">
        <v>86336</v>
      </c>
      <c r="H30" s="8">
        <v>87367</v>
      </c>
    </row>
    <row r="31" spans="1:9" hidden="1" x14ac:dyDescent="0.25">
      <c r="F31" s="8">
        <v>86195</v>
      </c>
      <c r="G31" s="8">
        <v>97927</v>
      </c>
      <c r="H31" s="8">
        <v>99096</v>
      </c>
    </row>
    <row r="32" spans="1:9" hidden="1" x14ac:dyDescent="0.25">
      <c r="F32" s="8">
        <v>86195</v>
      </c>
      <c r="G32" s="8">
        <v>97927</v>
      </c>
      <c r="H32" s="8">
        <v>99096</v>
      </c>
    </row>
  </sheetData>
  <mergeCells count="17">
    <mergeCell ref="B9:C9"/>
    <mergeCell ref="B10:C10"/>
    <mergeCell ref="B11:C11"/>
    <mergeCell ref="B12:C12"/>
    <mergeCell ref="B13:C13"/>
    <mergeCell ref="B19:C19"/>
    <mergeCell ref="B14:C14"/>
    <mergeCell ref="B15:C15"/>
    <mergeCell ref="B16:C16"/>
    <mergeCell ref="B17:C17"/>
    <mergeCell ref="B18:C18"/>
    <mergeCell ref="D7:D8"/>
    <mergeCell ref="E7:E8"/>
    <mergeCell ref="A1:C2"/>
    <mergeCell ref="E1:E2"/>
    <mergeCell ref="B3:B5"/>
    <mergeCell ref="A7:C8"/>
  </mergeCells>
  <pageMargins left="0.7" right="0.7" top="0.75" bottom="0.75" header="0.3" footer="0.3"/>
  <pageSetup scale="5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view="pageBreakPreview" topLeftCell="C1" zoomScaleNormal="100" zoomScaleSheetLayoutView="100" workbookViewId="0">
      <selection activeCell="N11" sqref="N11"/>
    </sheetView>
  </sheetViews>
  <sheetFormatPr defaultRowHeight="15" x14ac:dyDescent="0.25"/>
  <cols>
    <col min="2" max="2" width="14.42578125" customWidth="1"/>
    <col min="3" max="3" width="45.42578125" bestFit="1" customWidth="1"/>
    <col min="4" max="4" width="6.5703125" customWidth="1"/>
    <col min="5" max="5" width="5.42578125" customWidth="1"/>
    <col min="6" max="6" width="6.140625" customWidth="1"/>
    <col min="7" max="7" width="9.42578125" customWidth="1"/>
    <col min="8" max="8" width="8.42578125" customWidth="1"/>
    <col min="9" max="9" width="9.5703125" customWidth="1"/>
    <col min="10" max="10" width="8.5703125" customWidth="1"/>
    <col min="11" max="11" width="9.85546875" customWidth="1"/>
    <col min="12" max="12" width="7.85546875" customWidth="1"/>
    <col min="13" max="13" width="10.140625" customWidth="1"/>
    <col min="14" max="14" width="10.7109375" customWidth="1"/>
    <col min="15" max="15" width="11.42578125" customWidth="1"/>
    <col min="17" max="17" width="9.5703125" bestFit="1" customWidth="1"/>
  </cols>
  <sheetData>
    <row r="1" spans="1:17" ht="26.25" customHeight="1" x14ac:dyDescent="0.25">
      <c r="A1" s="81" t="s">
        <v>93</v>
      </c>
      <c r="B1" s="81"/>
      <c r="C1" s="81"/>
      <c r="D1" s="2"/>
      <c r="E1" s="95" t="s">
        <v>82</v>
      </c>
      <c r="F1" s="95"/>
      <c r="G1" s="76" t="s">
        <v>84</v>
      </c>
      <c r="H1" s="18" t="s">
        <v>87</v>
      </c>
      <c r="I1" s="26" t="s">
        <v>88</v>
      </c>
      <c r="J1" s="18" t="s">
        <v>90</v>
      </c>
      <c r="K1" s="26" t="s">
        <v>91</v>
      </c>
      <c r="L1" s="18" t="s">
        <v>92</v>
      </c>
      <c r="M1" s="26" t="s">
        <v>92</v>
      </c>
      <c r="N1" s="27" t="s">
        <v>86</v>
      </c>
      <c r="O1" s="25" t="s">
        <v>85</v>
      </c>
    </row>
    <row r="2" spans="1:17" ht="30" customHeight="1" x14ac:dyDescent="0.25">
      <c r="A2" s="81"/>
      <c r="B2" s="81"/>
      <c r="C2" s="81"/>
      <c r="D2" s="2"/>
      <c r="E2" s="18" t="s">
        <v>83</v>
      </c>
      <c r="F2" s="18" t="s">
        <v>89</v>
      </c>
      <c r="G2" s="82"/>
      <c r="H2" s="91">
        <v>0.2</v>
      </c>
      <c r="I2" s="92"/>
      <c r="J2" s="91">
        <v>0.1</v>
      </c>
      <c r="K2" s="92"/>
      <c r="L2" s="91">
        <v>0</v>
      </c>
      <c r="M2" s="92"/>
      <c r="N2" s="6">
        <v>0.35</v>
      </c>
      <c r="O2" s="22">
        <v>0.35</v>
      </c>
    </row>
    <row r="3" spans="1:17" s="1" customFormat="1" ht="20.85" customHeight="1" x14ac:dyDescent="0.25">
      <c r="A3" s="7">
        <v>1</v>
      </c>
      <c r="B3" s="93" t="s">
        <v>337</v>
      </c>
      <c r="C3" s="43" t="s">
        <v>74</v>
      </c>
      <c r="D3" s="7" t="s">
        <v>81</v>
      </c>
      <c r="E3" s="8">
        <v>600</v>
      </c>
      <c r="F3" s="8">
        <v>4</v>
      </c>
      <c r="G3" s="8">
        <v>1800</v>
      </c>
      <c r="H3" s="24">
        <f>(G3*0.8)*1.08</f>
        <v>1555.2</v>
      </c>
      <c r="I3" s="11">
        <f>H3*E3</f>
        <v>933120</v>
      </c>
      <c r="J3" s="24">
        <f>(G3*0.9)*1.08</f>
        <v>1749.6000000000001</v>
      </c>
      <c r="K3" s="11">
        <f>J3*E3</f>
        <v>1049760</v>
      </c>
      <c r="L3" s="8">
        <f>(G3*1)*1.08</f>
        <v>1944.0000000000002</v>
      </c>
      <c r="M3" s="11">
        <f>L3*E3</f>
        <v>1166400.0000000002</v>
      </c>
      <c r="N3" s="20">
        <f>O3*E3</f>
        <v>758160.00000000012</v>
      </c>
      <c r="O3" s="9">
        <f>(G3*0.65)*1.08</f>
        <v>1263.6000000000001</v>
      </c>
      <c r="Q3" s="48"/>
    </row>
    <row r="4" spans="1:17" s="1" customFormat="1" ht="20.85" customHeight="1" x14ac:dyDescent="0.25">
      <c r="A4" s="7">
        <v>2</v>
      </c>
      <c r="B4" s="96"/>
      <c r="C4" s="43" t="s">
        <v>75</v>
      </c>
      <c r="D4" s="7" t="s">
        <v>81</v>
      </c>
      <c r="E4" s="8">
        <v>600</v>
      </c>
      <c r="F4" s="8">
        <v>4</v>
      </c>
      <c r="G4" s="8">
        <v>1900</v>
      </c>
      <c r="H4" s="24">
        <f t="shared" ref="H4:H11" si="0">(G4*0.8)*1.08</f>
        <v>1641.6000000000001</v>
      </c>
      <c r="I4" s="11">
        <f t="shared" ref="I4:I11" si="1">H4*E4</f>
        <v>984960.00000000012</v>
      </c>
      <c r="J4" s="24">
        <f t="shared" ref="J4:J11" si="2">(G4*0.9)*1.08</f>
        <v>1846.8000000000002</v>
      </c>
      <c r="K4" s="11">
        <f t="shared" ref="K4:K11" si="3">J4*E4</f>
        <v>1108080</v>
      </c>
      <c r="L4" s="8">
        <f t="shared" ref="L4:L11" si="4">(G4*1)*1.08</f>
        <v>2052</v>
      </c>
      <c r="M4" s="11">
        <f t="shared" ref="M4:M11" si="5">L4*E4</f>
        <v>1231200</v>
      </c>
      <c r="N4" s="20">
        <f t="shared" ref="N4:N11" si="6">O4*E4</f>
        <v>800280.00000000012</v>
      </c>
      <c r="O4" s="9">
        <f t="shared" ref="O4:O11" si="7">(G4*0.65)*1.08</f>
        <v>1333.8000000000002</v>
      </c>
    </row>
    <row r="5" spans="1:17" s="1" customFormat="1" ht="20.85" customHeight="1" x14ac:dyDescent="0.25">
      <c r="A5" s="7">
        <v>3</v>
      </c>
      <c r="B5" s="96"/>
      <c r="C5" s="43" t="s">
        <v>339</v>
      </c>
      <c r="D5" s="7" t="s">
        <v>81</v>
      </c>
      <c r="E5" s="8">
        <v>600</v>
      </c>
      <c r="F5" s="8">
        <v>4</v>
      </c>
      <c r="G5" s="8">
        <v>2300</v>
      </c>
      <c r="H5" s="24">
        <f t="shared" si="0"/>
        <v>1987.2</v>
      </c>
      <c r="I5" s="11">
        <f t="shared" si="1"/>
        <v>1192320</v>
      </c>
      <c r="J5" s="24">
        <f t="shared" si="2"/>
        <v>2235.6000000000004</v>
      </c>
      <c r="K5" s="11">
        <f t="shared" si="3"/>
        <v>1341360.0000000002</v>
      </c>
      <c r="L5" s="8">
        <f t="shared" si="4"/>
        <v>2484</v>
      </c>
      <c r="M5" s="11">
        <f t="shared" si="5"/>
        <v>1490400</v>
      </c>
      <c r="N5" s="20">
        <f t="shared" si="6"/>
        <v>968760.00000000012</v>
      </c>
      <c r="O5" s="9">
        <f t="shared" si="7"/>
        <v>1614.6000000000001</v>
      </c>
    </row>
    <row r="6" spans="1:17" s="1" customFormat="1" ht="20.85" customHeight="1" x14ac:dyDescent="0.25">
      <c r="A6" s="7">
        <v>4</v>
      </c>
      <c r="B6" s="96"/>
      <c r="C6" s="43" t="s">
        <v>76</v>
      </c>
      <c r="D6" s="7" t="s">
        <v>81</v>
      </c>
      <c r="E6" s="8">
        <v>100</v>
      </c>
      <c r="F6" s="8">
        <v>35</v>
      </c>
      <c r="G6" s="8">
        <v>1150</v>
      </c>
      <c r="H6" s="24">
        <f t="shared" si="0"/>
        <v>993.6</v>
      </c>
      <c r="I6" s="11">
        <f t="shared" si="1"/>
        <v>99360</v>
      </c>
      <c r="J6" s="24">
        <f t="shared" si="2"/>
        <v>1117.8000000000002</v>
      </c>
      <c r="K6" s="11">
        <f t="shared" si="3"/>
        <v>111780.00000000001</v>
      </c>
      <c r="L6" s="8">
        <f t="shared" si="4"/>
        <v>1242</v>
      </c>
      <c r="M6" s="11">
        <f t="shared" si="5"/>
        <v>124200</v>
      </c>
      <c r="N6" s="20">
        <f t="shared" si="6"/>
        <v>80730</v>
      </c>
      <c r="O6" s="9">
        <f t="shared" si="7"/>
        <v>807.30000000000007</v>
      </c>
    </row>
    <row r="7" spans="1:17" s="1" customFormat="1" ht="20.85" customHeight="1" x14ac:dyDescent="0.25">
      <c r="A7" s="7">
        <v>5</v>
      </c>
      <c r="B7" s="96"/>
      <c r="C7" s="43" t="s">
        <v>77</v>
      </c>
      <c r="D7" s="7" t="s">
        <v>81</v>
      </c>
      <c r="E7" s="8">
        <v>100</v>
      </c>
      <c r="F7" s="8">
        <v>30</v>
      </c>
      <c r="G7" s="8">
        <v>1250</v>
      </c>
      <c r="H7" s="24">
        <f t="shared" si="0"/>
        <v>1080</v>
      </c>
      <c r="I7" s="11">
        <f t="shared" si="1"/>
        <v>108000</v>
      </c>
      <c r="J7" s="24">
        <f t="shared" si="2"/>
        <v>1215</v>
      </c>
      <c r="K7" s="11">
        <f t="shared" si="3"/>
        <v>121500</v>
      </c>
      <c r="L7" s="8">
        <f t="shared" si="4"/>
        <v>1350</v>
      </c>
      <c r="M7" s="11">
        <f t="shared" si="5"/>
        <v>135000</v>
      </c>
      <c r="N7" s="20">
        <f t="shared" si="6"/>
        <v>87750.000000000015</v>
      </c>
      <c r="O7" s="9">
        <f t="shared" si="7"/>
        <v>877.50000000000011</v>
      </c>
    </row>
    <row r="8" spans="1:17" s="1" customFormat="1" ht="20.85" customHeight="1" x14ac:dyDescent="0.25">
      <c r="A8" s="7">
        <v>6</v>
      </c>
      <c r="B8" s="96"/>
      <c r="C8" s="43" t="s">
        <v>338</v>
      </c>
      <c r="D8" s="7" t="s">
        <v>81</v>
      </c>
      <c r="E8" s="8">
        <v>80</v>
      </c>
      <c r="F8" s="8">
        <v>24</v>
      </c>
      <c r="G8" s="8">
        <v>1450</v>
      </c>
      <c r="H8" s="24">
        <f t="shared" si="0"/>
        <v>1252.8000000000002</v>
      </c>
      <c r="I8" s="11">
        <f t="shared" si="1"/>
        <v>100224.00000000001</v>
      </c>
      <c r="J8" s="24">
        <f t="shared" si="2"/>
        <v>1409.4</v>
      </c>
      <c r="K8" s="11">
        <f t="shared" si="3"/>
        <v>112752</v>
      </c>
      <c r="L8" s="8">
        <f t="shared" si="4"/>
        <v>1566</v>
      </c>
      <c r="M8" s="11">
        <f t="shared" si="5"/>
        <v>125280</v>
      </c>
      <c r="N8" s="20">
        <f t="shared" si="6"/>
        <v>81432</v>
      </c>
      <c r="O8" s="9">
        <f t="shared" si="7"/>
        <v>1017.9000000000001</v>
      </c>
    </row>
    <row r="9" spans="1:17" s="1" customFormat="1" ht="20.85" customHeight="1" x14ac:dyDescent="0.25">
      <c r="A9" s="7">
        <v>8</v>
      </c>
      <c r="B9" s="12" t="s">
        <v>72</v>
      </c>
      <c r="C9" s="43" t="s">
        <v>78</v>
      </c>
      <c r="D9" s="7" t="s">
        <v>81</v>
      </c>
      <c r="E9" s="8">
        <v>200</v>
      </c>
      <c r="F9" s="8">
        <v>36</v>
      </c>
      <c r="G9" s="8">
        <v>460</v>
      </c>
      <c r="H9" s="24">
        <f t="shared" si="0"/>
        <v>397.44000000000005</v>
      </c>
      <c r="I9" s="11">
        <f t="shared" si="1"/>
        <v>79488.000000000015</v>
      </c>
      <c r="J9" s="24">
        <f t="shared" si="2"/>
        <v>447.12</v>
      </c>
      <c r="K9" s="11">
        <f t="shared" si="3"/>
        <v>89424</v>
      </c>
      <c r="L9" s="8">
        <f t="shared" si="4"/>
        <v>496.8</v>
      </c>
      <c r="M9" s="11">
        <f t="shared" si="5"/>
        <v>99360</v>
      </c>
      <c r="N9" s="20">
        <f t="shared" si="6"/>
        <v>64584</v>
      </c>
      <c r="O9" s="9">
        <f t="shared" si="7"/>
        <v>322.92</v>
      </c>
    </row>
    <row r="10" spans="1:17" s="1" customFormat="1" ht="27.4" customHeight="1" x14ac:dyDescent="0.25">
      <c r="A10" s="7">
        <v>9</v>
      </c>
      <c r="B10" s="93" t="s">
        <v>73</v>
      </c>
      <c r="C10" s="49" t="s">
        <v>79</v>
      </c>
      <c r="D10" s="7" t="s">
        <v>81</v>
      </c>
      <c r="E10" s="8">
        <v>300</v>
      </c>
      <c r="F10" s="8">
        <v>70</v>
      </c>
      <c r="G10" s="8">
        <v>260</v>
      </c>
      <c r="H10" s="24">
        <f t="shared" si="0"/>
        <v>224.64000000000001</v>
      </c>
      <c r="I10" s="11">
        <f>H10*E10</f>
        <v>67392</v>
      </c>
      <c r="J10" s="24">
        <f t="shared" si="2"/>
        <v>252.72000000000003</v>
      </c>
      <c r="K10" s="11">
        <f t="shared" si="3"/>
        <v>75816.000000000015</v>
      </c>
      <c r="L10" s="8">
        <f t="shared" si="4"/>
        <v>280.8</v>
      </c>
      <c r="M10" s="11">
        <f t="shared" si="5"/>
        <v>84240</v>
      </c>
      <c r="N10" s="20">
        <f t="shared" si="6"/>
        <v>54756</v>
      </c>
      <c r="O10" s="9">
        <f t="shared" si="7"/>
        <v>182.52</v>
      </c>
    </row>
    <row r="11" spans="1:17" s="1" customFormat="1" ht="29.25" customHeight="1" x14ac:dyDescent="0.25">
      <c r="A11" s="7">
        <v>10</v>
      </c>
      <c r="B11" s="94"/>
      <c r="C11" s="49" t="s">
        <v>80</v>
      </c>
      <c r="D11" s="7" t="s">
        <v>81</v>
      </c>
      <c r="E11" s="8">
        <v>300</v>
      </c>
      <c r="F11" s="8">
        <v>40</v>
      </c>
      <c r="G11" s="8">
        <v>310</v>
      </c>
      <c r="H11" s="24">
        <f t="shared" si="0"/>
        <v>267.84000000000003</v>
      </c>
      <c r="I11" s="11">
        <f t="shared" si="1"/>
        <v>80352.000000000015</v>
      </c>
      <c r="J11" s="24">
        <f t="shared" si="2"/>
        <v>301.32</v>
      </c>
      <c r="K11" s="11">
        <f t="shared" si="3"/>
        <v>90396</v>
      </c>
      <c r="L11" s="8">
        <f t="shared" si="4"/>
        <v>334.8</v>
      </c>
      <c r="M11" s="11">
        <f t="shared" si="5"/>
        <v>100440</v>
      </c>
      <c r="N11" s="20">
        <f t="shared" si="6"/>
        <v>65286</v>
      </c>
      <c r="O11" s="9">
        <f t="shared" si="7"/>
        <v>217.62</v>
      </c>
    </row>
  </sheetData>
  <mergeCells count="8">
    <mergeCell ref="L2:M2"/>
    <mergeCell ref="A1:C2"/>
    <mergeCell ref="G1:G2"/>
    <mergeCell ref="B10:B11"/>
    <mergeCell ref="E1:F1"/>
    <mergeCell ref="H2:I2"/>
    <mergeCell ref="J2:K2"/>
    <mergeCell ref="B3:B8"/>
  </mergeCells>
  <pageMargins left="0.7" right="0.7" top="0.75" bottom="0.75" header="0.3" footer="0.3"/>
  <pageSetup scale="52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tabSelected="1" view="pageBreakPreview" zoomScaleNormal="100" zoomScaleSheetLayoutView="100" workbookViewId="0">
      <selection activeCell="F10" sqref="F10"/>
    </sheetView>
  </sheetViews>
  <sheetFormatPr defaultRowHeight="15" x14ac:dyDescent="0.25"/>
  <cols>
    <col min="2" max="2" width="9" customWidth="1"/>
    <col min="3" max="3" width="50.5703125" customWidth="1"/>
    <col min="4" max="5" width="6.5703125" customWidth="1"/>
    <col min="6" max="6" width="10.7109375" customWidth="1"/>
    <col min="7" max="10" width="13.85546875" customWidth="1"/>
    <col min="12" max="12" width="13.42578125" bestFit="1" customWidth="1"/>
    <col min="13" max="13" width="10.85546875" bestFit="1" customWidth="1"/>
  </cols>
  <sheetData>
    <row r="1" spans="1:13" ht="23.65" customHeight="1" x14ac:dyDescent="0.25">
      <c r="A1" s="81" t="s">
        <v>126</v>
      </c>
      <c r="B1" s="81"/>
      <c r="C1" s="81"/>
      <c r="D1" s="76" t="s">
        <v>114</v>
      </c>
      <c r="E1" s="76" t="s">
        <v>115</v>
      </c>
      <c r="F1" s="76" t="s">
        <v>333</v>
      </c>
      <c r="G1" s="3" t="s">
        <v>10</v>
      </c>
      <c r="H1" s="3" t="s">
        <v>11</v>
      </c>
      <c r="I1" s="3" t="s">
        <v>12</v>
      </c>
      <c r="J1" s="4" t="s">
        <v>13</v>
      </c>
    </row>
    <row r="2" spans="1:13" ht="18" customHeight="1" x14ac:dyDescent="0.25">
      <c r="A2" s="81"/>
      <c r="B2" s="81"/>
      <c r="C2" s="81"/>
      <c r="D2" s="77"/>
      <c r="E2" s="77"/>
      <c r="F2" s="77"/>
      <c r="G2" s="5">
        <v>0.2</v>
      </c>
      <c r="H2" s="5">
        <v>0.1</v>
      </c>
      <c r="I2" s="5">
        <v>0</v>
      </c>
      <c r="J2" s="6">
        <v>0.35</v>
      </c>
    </row>
    <row r="3" spans="1:13" s="1" customFormat="1" ht="20.45" customHeight="1" x14ac:dyDescent="0.25">
      <c r="A3" s="7">
        <v>1</v>
      </c>
      <c r="B3" s="78" t="s">
        <v>118</v>
      </c>
      <c r="C3" s="23" t="s">
        <v>106</v>
      </c>
      <c r="D3" s="23" t="s">
        <v>116</v>
      </c>
      <c r="E3" s="23" t="s">
        <v>117</v>
      </c>
      <c r="F3" s="8">
        <v>50500</v>
      </c>
      <c r="G3" s="8">
        <f>(F3*0.8)*1.08</f>
        <v>43632</v>
      </c>
      <c r="H3" s="8">
        <f>(F3*0.9)*1.08</f>
        <v>49086</v>
      </c>
      <c r="I3" s="8">
        <f>(F3*1)*1.08</f>
        <v>54540</v>
      </c>
      <c r="J3" s="9">
        <f>(F3*0.65)*1.08</f>
        <v>35451</v>
      </c>
      <c r="L3" s="34"/>
      <c r="M3" s="35"/>
    </row>
    <row r="4" spans="1:13" s="1" customFormat="1" ht="20.45" customHeight="1" x14ac:dyDescent="0.25">
      <c r="A4" s="7">
        <v>2</v>
      </c>
      <c r="B4" s="78"/>
      <c r="C4" s="23" t="s">
        <v>107</v>
      </c>
      <c r="D4" s="23" t="s">
        <v>116</v>
      </c>
      <c r="E4" s="23" t="s">
        <v>117</v>
      </c>
      <c r="F4" s="8">
        <v>50500</v>
      </c>
      <c r="G4" s="8">
        <f t="shared" ref="G4:G10" si="0">(F4*0.8)*1.08</f>
        <v>43632</v>
      </c>
      <c r="H4" s="8">
        <f t="shared" ref="H4:H10" si="1">(F4*0.9)*1.08</f>
        <v>49086</v>
      </c>
      <c r="I4" s="8">
        <f t="shared" ref="I4:I10" si="2">(F4*1)*1.08</f>
        <v>54540</v>
      </c>
      <c r="J4" s="9">
        <f t="shared" ref="J4:J10" si="3">(F4*0.65)*1.08</f>
        <v>35451</v>
      </c>
      <c r="L4" s="35"/>
    </row>
    <row r="5" spans="1:13" s="1" customFormat="1" ht="20.45" customHeight="1" x14ac:dyDescent="0.25">
      <c r="A5" s="7">
        <v>3</v>
      </c>
      <c r="B5" s="78"/>
      <c r="C5" s="23" t="s">
        <v>108</v>
      </c>
      <c r="D5" s="23" t="s">
        <v>116</v>
      </c>
      <c r="E5" s="23" t="s">
        <v>117</v>
      </c>
      <c r="F5" s="8">
        <v>50500</v>
      </c>
      <c r="G5" s="8">
        <f t="shared" si="0"/>
        <v>43632</v>
      </c>
      <c r="H5" s="8">
        <f t="shared" si="1"/>
        <v>49086</v>
      </c>
      <c r="I5" s="8">
        <f t="shared" si="2"/>
        <v>54540</v>
      </c>
      <c r="J5" s="9">
        <f t="shared" si="3"/>
        <v>35451</v>
      </c>
      <c r="L5" s="33"/>
    </row>
    <row r="6" spans="1:13" s="1" customFormat="1" ht="20.45" customHeight="1" x14ac:dyDescent="0.25">
      <c r="A6" s="7">
        <v>4</v>
      </c>
      <c r="B6" s="78"/>
      <c r="C6" s="23" t="s">
        <v>109</v>
      </c>
      <c r="D6" s="23" t="s">
        <v>116</v>
      </c>
      <c r="E6" s="23" t="s">
        <v>117</v>
      </c>
      <c r="F6" s="8">
        <v>50500</v>
      </c>
      <c r="G6" s="8">
        <f t="shared" si="0"/>
        <v>43632</v>
      </c>
      <c r="H6" s="8">
        <f t="shared" si="1"/>
        <v>49086</v>
      </c>
      <c r="I6" s="8">
        <f t="shared" si="2"/>
        <v>54540</v>
      </c>
      <c r="J6" s="9">
        <f t="shared" si="3"/>
        <v>35451</v>
      </c>
      <c r="L6" s="33"/>
    </row>
    <row r="7" spans="1:13" s="1" customFormat="1" ht="20.45" customHeight="1" x14ac:dyDescent="0.25">
      <c r="A7" s="13">
        <v>5</v>
      </c>
      <c r="B7" s="79" t="s">
        <v>119</v>
      </c>
      <c r="C7" s="13" t="s">
        <v>110</v>
      </c>
      <c r="D7" s="13" t="s">
        <v>116</v>
      </c>
      <c r="E7" s="13" t="s">
        <v>117</v>
      </c>
      <c r="F7" s="14">
        <v>47500</v>
      </c>
      <c r="G7" s="14">
        <f t="shared" si="0"/>
        <v>41040</v>
      </c>
      <c r="H7" s="14">
        <f t="shared" si="1"/>
        <v>46170</v>
      </c>
      <c r="I7" s="14">
        <f t="shared" si="2"/>
        <v>51300</v>
      </c>
      <c r="J7" s="9">
        <f t="shared" si="3"/>
        <v>33345</v>
      </c>
      <c r="L7" s="35"/>
    </row>
    <row r="8" spans="1:13" s="1" customFormat="1" ht="20.45" customHeight="1" x14ac:dyDescent="0.25">
      <c r="A8" s="13">
        <v>6</v>
      </c>
      <c r="B8" s="80"/>
      <c r="C8" s="13" t="s">
        <v>111</v>
      </c>
      <c r="D8" s="13" t="s">
        <v>116</v>
      </c>
      <c r="E8" s="13" t="s">
        <v>117</v>
      </c>
      <c r="F8" s="14">
        <v>47500</v>
      </c>
      <c r="G8" s="14">
        <f t="shared" si="0"/>
        <v>41040</v>
      </c>
      <c r="H8" s="14">
        <f t="shared" si="1"/>
        <v>46170</v>
      </c>
      <c r="I8" s="14">
        <f t="shared" si="2"/>
        <v>51300</v>
      </c>
      <c r="J8" s="9">
        <f t="shared" si="3"/>
        <v>33345</v>
      </c>
    </row>
    <row r="9" spans="1:13" s="1" customFormat="1" ht="20.45" customHeight="1" x14ac:dyDescent="0.25">
      <c r="A9" s="13">
        <v>7</v>
      </c>
      <c r="B9" s="80"/>
      <c r="C9" s="13" t="s">
        <v>112</v>
      </c>
      <c r="D9" s="13" t="s">
        <v>116</v>
      </c>
      <c r="E9" s="13" t="s">
        <v>117</v>
      </c>
      <c r="F9" s="14">
        <v>47500</v>
      </c>
      <c r="G9" s="14">
        <f t="shared" si="0"/>
        <v>41040</v>
      </c>
      <c r="H9" s="14">
        <f t="shared" si="1"/>
        <v>46170</v>
      </c>
      <c r="I9" s="14">
        <f t="shared" si="2"/>
        <v>51300</v>
      </c>
      <c r="J9" s="9">
        <f t="shared" si="3"/>
        <v>33345</v>
      </c>
    </row>
    <row r="10" spans="1:13" s="1" customFormat="1" ht="20.45" customHeight="1" x14ac:dyDescent="0.25">
      <c r="A10" s="13">
        <v>8</v>
      </c>
      <c r="B10" s="80"/>
      <c r="C10" s="13" t="s">
        <v>113</v>
      </c>
      <c r="D10" s="13" t="s">
        <v>116</v>
      </c>
      <c r="E10" s="13" t="s">
        <v>117</v>
      </c>
      <c r="F10" s="14">
        <v>47500</v>
      </c>
      <c r="G10" s="14">
        <f t="shared" si="0"/>
        <v>41040</v>
      </c>
      <c r="H10" s="14">
        <f t="shared" si="1"/>
        <v>46170</v>
      </c>
      <c r="I10" s="14">
        <f t="shared" si="2"/>
        <v>51300</v>
      </c>
      <c r="J10" s="9">
        <f t="shared" si="3"/>
        <v>33345</v>
      </c>
    </row>
  </sheetData>
  <mergeCells count="6">
    <mergeCell ref="F1:F2"/>
    <mergeCell ref="B3:B6"/>
    <mergeCell ref="B7:B10"/>
    <mergeCell ref="D1:D2"/>
    <mergeCell ref="E1:E2"/>
    <mergeCell ref="A1:C2"/>
  </mergeCells>
  <pageMargins left="0.7" right="0.7" top="0.75" bottom="0.75" header="0.3" footer="0.3"/>
  <pageSetup scale="58"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view="pageBreakPreview" zoomScaleNormal="100" zoomScaleSheetLayoutView="100" workbookViewId="0">
      <selection activeCell="E12" sqref="E12"/>
    </sheetView>
  </sheetViews>
  <sheetFormatPr defaultRowHeight="15" x14ac:dyDescent="0.25"/>
  <cols>
    <col min="2" max="2" width="27.140625" customWidth="1"/>
    <col min="3" max="3" width="11.42578125" customWidth="1"/>
    <col min="4" max="4" width="6.5703125" customWidth="1"/>
    <col min="5" max="5" width="11.85546875" customWidth="1"/>
    <col min="6" max="9" width="13.85546875" customWidth="1"/>
  </cols>
  <sheetData>
    <row r="1" spans="1:9" ht="23.65" customHeight="1" x14ac:dyDescent="0.25">
      <c r="A1" s="81" t="s">
        <v>105</v>
      </c>
      <c r="B1" s="81"/>
      <c r="C1" s="81"/>
      <c r="D1" s="2"/>
      <c r="E1" s="97" t="s">
        <v>334</v>
      </c>
      <c r="F1" s="3" t="s">
        <v>10</v>
      </c>
      <c r="G1" s="3" t="s">
        <v>11</v>
      </c>
      <c r="H1" s="3" t="s">
        <v>12</v>
      </c>
      <c r="I1" s="4" t="s">
        <v>13</v>
      </c>
    </row>
    <row r="2" spans="1:9" ht="18" customHeight="1" x14ac:dyDescent="0.25">
      <c r="A2" s="81"/>
      <c r="B2" s="81"/>
      <c r="C2" s="81"/>
      <c r="D2" s="2"/>
      <c r="E2" s="82"/>
      <c r="F2" s="5">
        <v>0.2</v>
      </c>
      <c r="G2" s="5">
        <v>0.1</v>
      </c>
      <c r="H2" s="5">
        <v>0</v>
      </c>
      <c r="I2" s="6">
        <v>0.35</v>
      </c>
    </row>
    <row r="3" spans="1:9" s="1" customFormat="1" ht="20.85" customHeight="1" x14ac:dyDescent="0.25">
      <c r="A3" s="7">
        <v>1</v>
      </c>
      <c r="B3" s="78" t="s">
        <v>98</v>
      </c>
      <c r="C3" s="7" t="s">
        <v>99</v>
      </c>
      <c r="D3" s="7" t="s">
        <v>102</v>
      </c>
      <c r="E3" s="8">
        <v>110000</v>
      </c>
      <c r="F3" s="8">
        <f>(E3*0.8)*1.08</f>
        <v>95040</v>
      </c>
      <c r="G3" s="8">
        <f>(E3*0.9)*1.08</f>
        <v>106920</v>
      </c>
      <c r="H3" s="8">
        <f>(E3*1)*1.08</f>
        <v>118800.00000000001</v>
      </c>
      <c r="I3" s="9">
        <f>(E3*0.65)*1.08</f>
        <v>77220</v>
      </c>
    </row>
    <row r="4" spans="1:9" s="1" customFormat="1" ht="20.85" customHeight="1" x14ac:dyDescent="0.25">
      <c r="A4" s="7">
        <v>2</v>
      </c>
      <c r="B4" s="78"/>
      <c r="C4" s="7" t="s">
        <v>100</v>
      </c>
      <c r="D4" s="7" t="s">
        <v>102</v>
      </c>
      <c r="E4" s="8">
        <v>381000</v>
      </c>
      <c r="F4" s="8">
        <f t="shared" ref="F4:F11" si="0">(E4*0.8)*1.08</f>
        <v>329184</v>
      </c>
      <c r="G4" s="8">
        <f t="shared" ref="G4:G11" si="1">(E4*0.9)*1.08</f>
        <v>370332</v>
      </c>
      <c r="H4" s="8">
        <f t="shared" ref="H4:H11" si="2">(E4*1)*1.08</f>
        <v>411480</v>
      </c>
      <c r="I4" s="9">
        <f t="shared" ref="I4:I11" si="3">(E4*0.65)*1.08</f>
        <v>267462</v>
      </c>
    </row>
    <row r="5" spans="1:9" s="1" customFormat="1" ht="20.85" customHeight="1" x14ac:dyDescent="0.25">
      <c r="A5" s="7">
        <v>3</v>
      </c>
      <c r="B5" s="78"/>
      <c r="C5" s="7" t="s">
        <v>101</v>
      </c>
      <c r="D5" s="7" t="s">
        <v>103</v>
      </c>
      <c r="E5" s="8">
        <v>2347000</v>
      </c>
      <c r="F5" s="8">
        <f t="shared" si="0"/>
        <v>2027808.0000000002</v>
      </c>
      <c r="G5" s="8">
        <f t="shared" si="1"/>
        <v>2281284</v>
      </c>
      <c r="H5" s="8">
        <f t="shared" si="2"/>
        <v>2534760</v>
      </c>
      <c r="I5" s="9">
        <f t="shared" si="3"/>
        <v>1647594</v>
      </c>
    </row>
    <row r="6" spans="1:9" s="1" customFormat="1" ht="20.85" customHeight="1" x14ac:dyDescent="0.25">
      <c r="A6" s="13">
        <v>4</v>
      </c>
      <c r="B6" s="79" t="s">
        <v>348</v>
      </c>
      <c r="C6" s="13" t="s">
        <v>99</v>
      </c>
      <c r="D6" s="13" t="s">
        <v>102</v>
      </c>
      <c r="E6" s="14">
        <v>129000</v>
      </c>
      <c r="F6" s="14">
        <f t="shared" si="0"/>
        <v>111456.00000000001</v>
      </c>
      <c r="G6" s="14">
        <f t="shared" si="1"/>
        <v>125388.00000000001</v>
      </c>
      <c r="H6" s="14">
        <f t="shared" si="2"/>
        <v>139320</v>
      </c>
      <c r="I6" s="9">
        <f t="shared" si="3"/>
        <v>90558</v>
      </c>
    </row>
    <row r="7" spans="1:9" s="1" customFormat="1" ht="20.85" customHeight="1" x14ac:dyDescent="0.25">
      <c r="A7" s="13">
        <v>5</v>
      </c>
      <c r="B7" s="80"/>
      <c r="C7" s="13" t="s">
        <v>100</v>
      </c>
      <c r="D7" s="13" t="s">
        <v>104</v>
      </c>
      <c r="E7" s="14">
        <v>445000</v>
      </c>
      <c r="F7" s="14">
        <f t="shared" si="0"/>
        <v>384480</v>
      </c>
      <c r="G7" s="14">
        <f t="shared" si="1"/>
        <v>432540</v>
      </c>
      <c r="H7" s="14">
        <f t="shared" si="2"/>
        <v>480600.00000000006</v>
      </c>
      <c r="I7" s="9">
        <f t="shared" si="3"/>
        <v>312390</v>
      </c>
    </row>
    <row r="8" spans="1:9" s="1" customFormat="1" ht="20.85" customHeight="1" x14ac:dyDescent="0.25">
      <c r="A8" s="13">
        <v>6</v>
      </c>
      <c r="B8" s="80"/>
      <c r="C8" s="13" t="s">
        <v>101</v>
      </c>
      <c r="D8" s="13" t="s">
        <v>103</v>
      </c>
      <c r="E8" s="14">
        <v>2735000</v>
      </c>
      <c r="F8" s="14">
        <f t="shared" si="0"/>
        <v>2363040</v>
      </c>
      <c r="G8" s="14">
        <f t="shared" si="1"/>
        <v>2658420</v>
      </c>
      <c r="H8" s="14">
        <f t="shared" si="2"/>
        <v>2953800</v>
      </c>
      <c r="I8" s="9">
        <f t="shared" si="3"/>
        <v>1919970.0000000002</v>
      </c>
    </row>
    <row r="9" spans="1:9" ht="20.85" customHeight="1" x14ac:dyDescent="0.25">
      <c r="A9" s="23">
        <v>4</v>
      </c>
      <c r="B9" s="98" t="s">
        <v>349</v>
      </c>
      <c r="C9" s="23" t="s">
        <v>99</v>
      </c>
      <c r="D9" s="23" t="s">
        <v>102</v>
      </c>
      <c r="E9" s="24">
        <v>166000</v>
      </c>
      <c r="F9" s="8">
        <f t="shared" si="0"/>
        <v>143424</v>
      </c>
      <c r="G9" s="8">
        <f t="shared" si="1"/>
        <v>161352</v>
      </c>
      <c r="H9" s="8">
        <f t="shared" si="2"/>
        <v>179280</v>
      </c>
      <c r="I9" s="9">
        <f t="shared" si="3"/>
        <v>116532.00000000001</v>
      </c>
    </row>
    <row r="10" spans="1:9" ht="20.85" customHeight="1" x14ac:dyDescent="0.25">
      <c r="A10" s="23">
        <v>5</v>
      </c>
      <c r="B10" s="99"/>
      <c r="C10" s="23" t="s">
        <v>100</v>
      </c>
      <c r="D10" s="23" t="s">
        <v>104</v>
      </c>
      <c r="E10" s="24">
        <v>564000</v>
      </c>
      <c r="F10" s="8">
        <f t="shared" si="0"/>
        <v>487296.00000000006</v>
      </c>
      <c r="G10" s="8">
        <f t="shared" si="1"/>
        <v>548208</v>
      </c>
      <c r="H10" s="8">
        <f t="shared" si="2"/>
        <v>609120</v>
      </c>
      <c r="I10" s="9">
        <f t="shared" si="3"/>
        <v>395928</v>
      </c>
    </row>
    <row r="11" spans="1:9" ht="20.85" customHeight="1" x14ac:dyDescent="0.25">
      <c r="A11" s="23">
        <v>6</v>
      </c>
      <c r="B11" s="99"/>
      <c r="C11" s="23" t="s">
        <v>101</v>
      </c>
      <c r="D11" s="23" t="s">
        <v>103</v>
      </c>
      <c r="E11" s="24">
        <v>3477000</v>
      </c>
      <c r="F11" s="8">
        <f t="shared" si="0"/>
        <v>3004128</v>
      </c>
      <c r="G11" s="8">
        <f t="shared" si="1"/>
        <v>3379644</v>
      </c>
      <c r="H11" s="8">
        <f t="shared" si="2"/>
        <v>3755160.0000000005</v>
      </c>
      <c r="I11" s="9">
        <f t="shared" si="3"/>
        <v>2440854</v>
      </c>
    </row>
  </sheetData>
  <mergeCells count="5">
    <mergeCell ref="A1:C2"/>
    <mergeCell ref="B3:B5"/>
    <mergeCell ref="B6:B8"/>
    <mergeCell ref="E1:E2"/>
    <mergeCell ref="B9:B11"/>
  </mergeCells>
  <pageMargins left="0.7" right="0.7" top="0.75" bottom="0.75" header="0.3" footer="0.3"/>
  <pageSetup scale="74"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view="pageBreakPreview" zoomScaleNormal="100" zoomScaleSheetLayoutView="100" workbookViewId="0">
      <selection activeCell="F8" sqref="F8"/>
    </sheetView>
  </sheetViews>
  <sheetFormatPr defaultRowHeight="15" x14ac:dyDescent="0.25"/>
  <cols>
    <col min="2" max="2" width="20.5703125" customWidth="1"/>
    <col min="3" max="3" width="50.42578125" customWidth="1"/>
    <col min="4" max="4" width="7.42578125" customWidth="1"/>
    <col min="5" max="5" width="6.5703125" customWidth="1"/>
    <col min="6" max="6" width="9.5703125" customWidth="1"/>
    <col min="7" max="9" width="11.5703125" customWidth="1"/>
    <col min="10" max="10" width="13.85546875" customWidth="1"/>
  </cols>
  <sheetData>
    <row r="1" spans="1:10" ht="23.65" customHeight="1" x14ac:dyDescent="0.25">
      <c r="A1" s="103" t="s">
        <v>105</v>
      </c>
      <c r="B1" s="104"/>
      <c r="C1" s="105"/>
      <c r="D1" s="109" t="s">
        <v>114</v>
      </c>
      <c r="E1" s="76" t="s">
        <v>94</v>
      </c>
      <c r="F1" s="76" t="s">
        <v>334</v>
      </c>
      <c r="G1" s="3" t="s">
        <v>10</v>
      </c>
      <c r="H1" s="3" t="s">
        <v>11</v>
      </c>
      <c r="I1" s="3" t="s">
        <v>12</v>
      </c>
      <c r="J1" s="4" t="s">
        <v>13</v>
      </c>
    </row>
    <row r="2" spans="1:10" ht="18" customHeight="1" x14ac:dyDescent="0.25">
      <c r="A2" s="106"/>
      <c r="B2" s="107"/>
      <c r="C2" s="108"/>
      <c r="D2" s="110"/>
      <c r="E2" s="77"/>
      <c r="F2" s="77"/>
      <c r="G2" s="5">
        <v>0.2</v>
      </c>
      <c r="H2" s="5">
        <v>0.1</v>
      </c>
      <c r="I2" s="5">
        <v>0</v>
      </c>
      <c r="J2" s="6">
        <v>0.35</v>
      </c>
    </row>
    <row r="3" spans="1:10" s="1" customFormat="1" ht="20.85" customHeight="1" x14ac:dyDescent="0.25">
      <c r="A3" s="7">
        <v>1</v>
      </c>
      <c r="B3" s="100" t="s">
        <v>263</v>
      </c>
      <c r="C3" s="43" t="s">
        <v>256</v>
      </c>
      <c r="D3" s="7" t="s">
        <v>261</v>
      </c>
      <c r="E3" s="7" t="s">
        <v>262</v>
      </c>
      <c r="F3" s="8">
        <v>32000</v>
      </c>
      <c r="G3" s="8">
        <f>(F3*0.8)*1.08</f>
        <v>27648</v>
      </c>
      <c r="H3" s="8">
        <f>(F3*0.9)*1.08</f>
        <v>31104.000000000004</v>
      </c>
      <c r="I3" s="8">
        <f>(F3*1)*1.08</f>
        <v>34560</v>
      </c>
      <c r="J3" s="9">
        <f>(F3*0.65)*1.08</f>
        <v>22464</v>
      </c>
    </row>
    <row r="4" spans="1:10" s="1" customFormat="1" ht="20.85" customHeight="1" x14ac:dyDescent="0.25">
      <c r="A4" s="7">
        <v>2</v>
      </c>
      <c r="B4" s="101"/>
      <c r="C4" s="43" t="s">
        <v>257</v>
      </c>
      <c r="D4" s="7" t="s">
        <v>261</v>
      </c>
      <c r="E4" s="7" t="s">
        <v>262</v>
      </c>
      <c r="F4" s="8">
        <v>32000</v>
      </c>
      <c r="G4" s="8">
        <f t="shared" ref="G4:G7" si="0">(F4*0.8)*1.08</f>
        <v>27648</v>
      </c>
      <c r="H4" s="8">
        <f t="shared" ref="H4:H7" si="1">(F4*0.9)*1.08</f>
        <v>31104.000000000004</v>
      </c>
      <c r="I4" s="8">
        <f t="shared" ref="I4:I7" si="2">(F4*1)*1.08</f>
        <v>34560</v>
      </c>
      <c r="J4" s="9">
        <f t="shared" ref="J4:J7" si="3">(F4*0.65)*1.08</f>
        <v>22464</v>
      </c>
    </row>
    <row r="5" spans="1:10" s="1" customFormat="1" ht="20.85" customHeight="1" x14ac:dyDescent="0.25">
      <c r="A5" s="7">
        <v>3</v>
      </c>
      <c r="B5" s="101"/>
      <c r="C5" s="43" t="s">
        <v>258</v>
      </c>
      <c r="D5" s="7" t="s">
        <v>261</v>
      </c>
      <c r="E5" s="7" t="s">
        <v>262</v>
      </c>
      <c r="F5" s="8">
        <v>32000</v>
      </c>
      <c r="G5" s="8">
        <f t="shared" si="0"/>
        <v>27648</v>
      </c>
      <c r="H5" s="8">
        <f t="shared" si="1"/>
        <v>31104.000000000004</v>
      </c>
      <c r="I5" s="8">
        <f t="shared" si="2"/>
        <v>34560</v>
      </c>
      <c r="J5" s="9">
        <f t="shared" si="3"/>
        <v>22464</v>
      </c>
    </row>
    <row r="6" spans="1:10" s="1" customFormat="1" ht="19.899999999999999" customHeight="1" x14ac:dyDescent="0.25">
      <c r="A6" s="7">
        <v>4</v>
      </c>
      <c r="B6" s="102"/>
      <c r="C6" s="43" t="s">
        <v>259</v>
      </c>
      <c r="D6" s="7" t="s">
        <v>261</v>
      </c>
      <c r="E6" s="7" t="s">
        <v>262</v>
      </c>
      <c r="F6" s="8">
        <v>32000</v>
      </c>
      <c r="G6" s="8">
        <f t="shared" si="0"/>
        <v>27648</v>
      </c>
      <c r="H6" s="8">
        <f t="shared" si="1"/>
        <v>31104.000000000004</v>
      </c>
      <c r="I6" s="8">
        <f t="shared" si="2"/>
        <v>34560</v>
      </c>
      <c r="J6" s="9">
        <f t="shared" si="3"/>
        <v>22464</v>
      </c>
    </row>
    <row r="7" spans="1:10" s="1" customFormat="1" ht="46.15" customHeight="1" x14ac:dyDescent="0.25">
      <c r="A7" s="13">
        <v>5</v>
      </c>
      <c r="B7" s="47" t="s">
        <v>264</v>
      </c>
      <c r="C7" s="44" t="s">
        <v>260</v>
      </c>
      <c r="D7" s="38" t="s">
        <v>261</v>
      </c>
      <c r="E7" s="38" t="s">
        <v>262</v>
      </c>
      <c r="F7" s="39">
        <v>34000</v>
      </c>
      <c r="G7" s="39">
        <f t="shared" si="0"/>
        <v>29376.000000000004</v>
      </c>
      <c r="H7" s="39">
        <f t="shared" si="1"/>
        <v>33048</v>
      </c>
      <c r="I7" s="39">
        <f t="shared" si="2"/>
        <v>36720</v>
      </c>
      <c r="J7" s="9">
        <f t="shared" si="3"/>
        <v>23868</v>
      </c>
    </row>
  </sheetData>
  <mergeCells count="5">
    <mergeCell ref="B3:B6"/>
    <mergeCell ref="E1:E2"/>
    <mergeCell ref="A1:C2"/>
    <mergeCell ref="D1:D2"/>
    <mergeCell ref="F1:F2"/>
  </mergeCells>
  <pageMargins left="0.7" right="0.7" top="0.75" bottom="0.75" header="0.3" footer="0.3"/>
  <pageSetup scale="59"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"/>
  <sheetViews>
    <sheetView view="pageBreakPreview" zoomScaleNormal="100" zoomScaleSheetLayoutView="100" workbookViewId="0">
      <selection activeCell="H21" sqref="H21"/>
    </sheetView>
  </sheetViews>
  <sheetFormatPr defaultRowHeight="15" x14ac:dyDescent="0.25"/>
  <cols>
    <col min="3" max="3" width="34" customWidth="1"/>
    <col min="4" max="4" width="4.42578125" customWidth="1"/>
    <col min="5" max="5" width="4.140625" customWidth="1"/>
    <col min="6" max="7" width="5.5703125" customWidth="1"/>
    <col min="8" max="8" width="11.7109375" customWidth="1"/>
    <col min="9" max="9" width="7.5703125" bestFit="1" customWidth="1"/>
    <col min="10" max="10" width="8.5703125" bestFit="1" customWidth="1"/>
    <col min="11" max="11" width="10.28515625" bestFit="1" customWidth="1"/>
    <col min="12" max="12" width="7.5703125" bestFit="1" customWidth="1"/>
    <col min="13" max="13" width="8.5703125" bestFit="1" customWidth="1"/>
    <col min="14" max="14" width="10.28515625" bestFit="1" customWidth="1"/>
    <col min="15" max="15" width="10.28515625" customWidth="1"/>
    <col min="16" max="16" width="10.85546875" customWidth="1"/>
  </cols>
  <sheetData>
    <row r="1" spans="1:16" ht="26.25" customHeight="1" x14ac:dyDescent="0.25">
      <c r="A1" s="81" t="s">
        <v>240</v>
      </c>
      <c r="B1" s="81"/>
      <c r="C1" s="81"/>
      <c r="D1" s="76" t="s">
        <v>115</v>
      </c>
      <c r="E1" s="76" t="s">
        <v>248</v>
      </c>
      <c r="F1" s="76" t="s">
        <v>249</v>
      </c>
      <c r="G1" s="76" t="s">
        <v>89</v>
      </c>
      <c r="H1" s="76" t="s">
        <v>14</v>
      </c>
      <c r="I1" s="111" t="s">
        <v>10</v>
      </c>
      <c r="J1" s="112"/>
      <c r="K1" s="113"/>
      <c r="L1" s="111" t="s">
        <v>11</v>
      </c>
      <c r="M1" s="112"/>
      <c r="N1" s="113"/>
      <c r="O1" s="3" t="s">
        <v>12</v>
      </c>
      <c r="P1" s="3" t="s">
        <v>12</v>
      </c>
    </row>
    <row r="2" spans="1:16" ht="18" customHeight="1" x14ac:dyDescent="0.25">
      <c r="A2" s="81"/>
      <c r="B2" s="81"/>
      <c r="C2" s="81"/>
      <c r="D2" s="77"/>
      <c r="E2" s="77"/>
      <c r="F2" s="77"/>
      <c r="G2" s="77"/>
      <c r="H2" s="82"/>
      <c r="I2" s="5" t="s">
        <v>245</v>
      </c>
      <c r="J2" s="5" t="s">
        <v>246</v>
      </c>
      <c r="K2" s="5" t="s">
        <v>247</v>
      </c>
      <c r="L2" s="5" t="s">
        <v>245</v>
      </c>
      <c r="M2" s="5" t="s">
        <v>246</v>
      </c>
      <c r="N2" s="5" t="s">
        <v>247</v>
      </c>
      <c r="O2" s="5" t="s">
        <v>246</v>
      </c>
      <c r="P2" s="5" t="s">
        <v>245</v>
      </c>
    </row>
    <row r="3" spans="1:16" s="1" customFormat="1" ht="20.85" customHeight="1" x14ac:dyDescent="0.25">
      <c r="A3" s="7">
        <v>1</v>
      </c>
      <c r="B3" s="114" t="s">
        <v>238</v>
      </c>
      <c r="C3" s="36" t="s">
        <v>220</v>
      </c>
      <c r="D3" s="10" t="s">
        <v>244</v>
      </c>
      <c r="E3" s="10">
        <v>2.5</v>
      </c>
      <c r="F3" s="10">
        <f>E3*G3</f>
        <v>20</v>
      </c>
      <c r="G3" s="10">
        <v>8</v>
      </c>
      <c r="H3" s="11">
        <v>26650</v>
      </c>
      <c r="I3" s="11">
        <f>(H3-2000)*1.08</f>
        <v>26622</v>
      </c>
      <c r="J3" s="11">
        <f>I3*E3</f>
        <v>66555</v>
      </c>
      <c r="K3" s="11">
        <f>J3*G3</f>
        <v>532440</v>
      </c>
      <c r="L3" s="11">
        <f>(H3-1500)*1.08</f>
        <v>27162</v>
      </c>
      <c r="M3" s="11">
        <f>L3*2.5</f>
        <v>67905</v>
      </c>
      <c r="N3" s="11">
        <f>M3*8</f>
        <v>543240</v>
      </c>
      <c r="O3" s="11">
        <f>P3*E3</f>
        <v>71955.000000000015</v>
      </c>
      <c r="P3" s="11">
        <f>H3*1.08</f>
        <v>28782.000000000004</v>
      </c>
    </row>
    <row r="4" spans="1:16" s="1" customFormat="1" ht="20.85" customHeight="1" x14ac:dyDescent="0.25">
      <c r="A4" s="7">
        <v>2</v>
      </c>
      <c r="B4" s="114"/>
      <c r="C4" s="36" t="s">
        <v>221</v>
      </c>
      <c r="D4" s="10" t="s">
        <v>244</v>
      </c>
      <c r="E4" s="10">
        <v>5</v>
      </c>
      <c r="F4" s="10">
        <f t="shared" ref="F4:F5" si="0">E4*G4</f>
        <v>20</v>
      </c>
      <c r="G4" s="10">
        <v>4</v>
      </c>
      <c r="H4" s="11">
        <v>25750</v>
      </c>
      <c r="I4" s="11">
        <f>(H4-2000)*1.08</f>
        <v>25650</v>
      </c>
      <c r="J4" s="11">
        <f t="shared" ref="J4:J8" si="1">I4*E4</f>
        <v>128250</v>
      </c>
      <c r="K4" s="11">
        <f t="shared" ref="K4:K8" si="2">J4*G4</f>
        <v>513000</v>
      </c>
      <c r="L4" s="11">
        <f t="shared" ref="L4:L20" si="3">(H4-1500)*1.08</f>
        <v>26190</v>
      </c>
      <c r="M4" s="11">
        <f>L4*E4</f>
        <v>130950</v>
      </c>
      <c r="N4" s="11">
        <f>M4*G4</f>
        <v>523800</v>
      </c>
      <c r="O4" s="11">
        <f>P4*E4</f>
        <v>139050.00000000003</v>
      </c>
      <c r="P4" s="11">
        <f>H4*1.08</f>
        <v>27810.000000000004</v>
      </c>
    </row>
    <row r="5" spans="1:16" s="1" customFormat="1" ht="20.85" customHeight="1" x14ac:dyDescent="0.25">
      <c r="A5" s="7">
        <v>3</v>
      </c>
      <c r="B5" s="114"/>
      <c r="C5" s="36" t="s">
        <v>222</v>
      </c>
      <c r="D5" s="10" t="s">
        <v>244</v>
      </c>
      <c r="E5" s="10">
        <v>5</v>
      </c>
      <c r="F5" s="10">
        <f t="shared" si="0"/>
        <v>20</v>
      </c>
      <c r="G5" s="10">
        <v>4</v>
      </c>
      <c r="H5" s="11">
        <v>25750</v>
      </c>
      <c r="I5" s="11">
        <f t="shared" ref="I5:I20" si="4">(H5-2000)*1.08</f>
        <v>25650</v>
      </c>
      <c r="J5" s="11">
        <f t="shared" si="1"/>
        <v>128250</v>
      </c>
      <c r="K5" s="11">
        <f t="shared" si="2"/>
        <v>513000</v>
      </c>
      <c r="L5" s="11">
        <f t="shared" si="3"/>
        <v>26190</v>
      </c>
      <c r="M5" s="11">
        <f>L5*E5</f>
        <v>130950</v>
      </c>
      <c r="N5" s="11">
        <f>M5*G5</f>
        <v>523800</v>
      </c>
      <c r="O5" s="11">
        <f t="shared" ref="O5:O8" si="5">P5*E5</f>
        <v>139050.00000000003</v>
      </c>
      <c r="P5" s="11">
        <f t="shared" ref="P5:P20" si="6">H5*1.08</f>
        <v>27810.000000000004</v>
      </c>
    </row>
    <row r="6" spans="1:16" s="1" customFormat="1" ht="20.85" customHeight="1" x14ac:dyDescent="0.25">
      <c r="A6" s="7">
        <v>4</v>
      </c>
      <c r="B6" s="78" t="s">
        <v>239</v>
      </c>
      <c r="C6" s="23" t="s">
        <v>223</v>
      </c>
      <c r="D6" s="7" t="s">
        <v>244</v>
      </c>
      <c r="E6" s="7">
        <v>2.5</v>
      </c>
      <c r="F6" s="7">
        <v>20</v>
      </c>
      <c r="G6" s="7">
        <v>8</v>
      </c>
      <c r="H6" s="8">
        <v>27350</v>
      </c>
      <c r="I6" s="8">
        <f t="shared" si="4"/>
        <v>27378</v>
      </c>
      <c r="J6" s="8">
        <f t="shared" si="1"/>
        <v>68445</v>
      </c>
      <c r="K6" s="8">
        <f t="shared" si="2"/>
        <v>547560</v>
      </c>
      <c r="L6" s="8">
        <f t="shared" si="3"/>
        <v>27918.000000000004</v>
      </c>
      <c r="M6" s="8">
        <f t="shared" ref="M6:M8" si="7">L6*E6</f>
        <v>69795.000000000015</v>
      </c>
      <c r="N6" s="8">
        <f t="shared" ref="N6:N8" si="8">M6*G6</f>
        <v>558360.00000000012</v>
      </c>
      <c r="O6" s="8">
        <f>P6*E6</f>
        <v>73845.000000000015</v>
      </c>
      <c r="P6" s="8">
        <f t="shared" si="6"/>
        <v>29538.000000000004</v>
      </c>
    </row>
    <row r="7" spans="1:16" s="1" customFormat="1" ht="20.85" customHeight="1" x14ac:dyDescent="0.25">
      <c r="A7" s="7">
        <v>5</v>
      </c>
      <c r="B7" s="78"/>
      <c r="C7" s="23" t="s">
        <v>224</v>
      </c>
      <c r="D7" s="7" t="s">
        <v>244</v>
      </c>
      <c r="E7" s="7">
        <v>5</v>
      </c>
      <c r="F7" s="7">
        <v>20</v>
      </c>
      <c r="G7" s="7">
        <v>4</v>
      </c>
      <c r="H7" s="8">
        <v>26150</v>
      </c>
      <c r="I7" s="8">
        <f t="shared" si="4"/>
        <v>26082</v>
      </c>
      <c r="J7" s="8">
        <f t="shared" si="1"/>
        <v>130410</v>
      </c>
      <c r="K7" s="8">
        <f t="shared" si="2"/>
        <v>521640</v>
      </c>
      <c r="L7" s="8">
        <f t="shared" si="3"/>
        <v>26622</v>
      </c>
      <c r="M7" s="8">
        <f t="shared" si="7"/>
        <v>133110</v>
      </c>
      <c r="N7" s="8">
        <f t="shared" si="8"/>
        <v>532440</v>
      </c>
      <c r="O7" s="8">
        <f t="shared" si="5"/>
        <v>141210.00000000003</v>
      </c>
      <c r="P7" s="8">
        <f t="shared" si="6"/>
        <v>28242.000000000004</v>
      </c>
    </row>
    <row r="8" spans="1:16" s="1" customFormat="1" ht="20.85" customHeight="1" x14ac:dyDescent="0.25">
      <c r="A8" s="7">
        <v>6</v>
      </c>
      <c r="B8" s="78"/>
      <c r="C8" s="23" t="s">
        <v>225</v>
      </c>
      <c r="D8" s="7" t="s">
        <v>244</v>
      </c>
      <c r="E8" s="7">
        <v>5</v>
      </c>
      <c r="F8" s="7">
        <v>20</v>
      </c>
      <c r="G8" s="7">
        <v>4</v>
      </c>
      <c r="H8" s="8">
        <v>26150</v>
      </c>
      <c r="I8" s="8">
        <f t="shared" si="4"/>
        <v>26082</v>
      </c>
      <c r="J8" s="8">
        <f t="shared" si="1"/>
        <v>130410</v>
      </c>
      <c r="K8" s="8">
        <f t="shared" si="2"/>
        <v>521640</v>
      </c>
      <c r="L8" s="8">
        <f t="shared" si="3"/>
        <v>26622</v>
      </c>
      <c r="M8" s="8">
        <f t="shared" si="7"/>
        <v>133110</v>
      </c>
      <c r="N8" s="8">
        <f t="shared" si="8"/>
        <v>532440</v>
      </c>
      <c r="O8" s="8">
        <f t="shared" si="5"/>
        <v>141210.00000000003</v>
      </c>
      <c r="P8" s="8">
        <f t="shared" si="6"/>
        <v>28242.000000000004</v>
      </c>
    </row>
    <row r="9" spans="1:16" s="1" customFormat="1" ht="20.85" customHeight="1" x14ac:dyDescent="0.25">
      <c r="A9" s="7">
        <v>7</v>
      </c>
      <c r="B9" s="78" t="s">
        <v>241</v>
      </c>
      <c r="C9" s="23" t="s">
        <v>226</v>
      </c>
      <c r="D9" s="7" t="s">
        <v>244</v>
      </c>
      <c r="E9" s="7"/>
      <c r="F9" s="7"/>
      <c r="G9" s="7"/>
      <c r="H9" s="8">
        <v>134850</v>
      </c>
      <c r="I9" s="8">
        <f t="shared" si="4"/>
        <v>143478</v>
      </c>
      <c r="J9" s="8"/>
      <c r="K9" s="8"/>
      <c r="L9" s="8">
        <f t="shared" si="3"/>
        <v>144018</v>
      </c>
      <c r="M9" s="11"/>
      <c r="N9" s="8"/>
      <c r="O9" s="8"/>
      <c r="P9" s="8">
        <f t="shared" si="6"/>
        <v>145638</v>
      </c>
    </row>
    <row r="10" spans="1:16" s="1" customFormat="1" ht="20.85" customHeight="1" x14ac:dyDescent="0.25">
      <c r="A10" s="7">
        <v>8</v>
      </c>
      <c r="B10" s="78"/>
      <c r="C10" s="23" t="s">
        <v>227</v>
      </c>
      <c r="D10" s="7" t="s">
        <v>244</v>
      </c>
      <c r="E10" s="7"/>
      <c r="F10" s="7"/>
      <c r="G10" s="7"/>
      <c r="H10" s="8">
        <v>131350</v>
      </c>
      <c r="I10" s="8">
        <f t="shared" si="4"/>
        <v>139698</v>
      </c>
      <c r="J10" s="8"/>
      <c r="K10" s="8"/>
      <c r="L10" s="8">
        <f t="shared" si="3"/>
        <v>140238</v>
      </c>
      <c r="M10" s="11"/>
      <c r="N10" s="8"/>
      <c r="O10" s="8"/>
      <c r="P10" s="8">
        <f t="shared" si="6"/>
        <v>141858</v>
      </c>
    </row>
    <row r="11" spans="1:16" s="1" customFormat="1" ht="20.85" customHeight="1" x14ac:dyDescent="0.25">
      <c r="A11" s="7">
        <v>9</v>
      </c>
      <c r="B11" s="78"/>
      <c r="C11" s="23" t="s">
        <v>228</v>
      </c>
      <c r="D11" s="7" t="s">
        <v>244</v>
      </c>
      <c r="E11" s="7"/>
      <c r="F11" s="7"/>
      <c r="G11" s="7"/>
      <c r="H11" s="8">
        <v>131350</v>
      </c>
      <c r="I11" s="8">
        <f t="shared" si="4"/>
        <v>139698</v>
      </c>
      <c r="J11" s="8"/>
      <c r="K11" s="8"/>
      <c r="L11" s="8">
        <f t="shared" si="3"/>
        <v>140238</v>
      </c>
      <c r="M11" s="11"/>
      <c r="N11" s="8"/>
      <c r="O11" s="8"/>
      <c r="P11" s="8">
        <f t="shared" si="6"/>
        <v>141858</v>
      </c>
    </row>
    <row r="12" spans="1:16" s="1" customFormat="1" ht="20.85" customHeight="1" x14ac:dyDescent="0.25">
      <c r="A12" s="7">
        <v>10</v>
      </c>
      <c r="B12" s="88" t="s">
        <v>242</v>
      </c>
      <c r="C12" s="23" t="s">
        <v>229</v>
      </c>
      <c r="D12" s="7" t="s">
        <v>244</v>
      </c>
      <c r="E12" s="7"/>
      <c r="F12" s="7"/>
      <c r="G12" s="7"/>
      <c r="H12" s="8">
        <v>37000</v>
      </c>
      <c r="I12" s="8">
        <f t="shared" si="4"/>
        <v>37800</v>
      </c>
      <c r="J12" s="8" t="s">
        <v>335</v>
      </c>
      <c r="K12" s="8">
        <f>I12*15</f>
        <v>567000</v>
      </c>
      <c r="L12" s="8">
        <f t="shared" si="3"/>
        <v>38340</v>
      </c>
      <c r="M12" s="11" t="s">
        <v>335</v>
      </c>
      <c r="N12" s="8">
        <f>L12*15</f>
        <v>575100</v>
      </c>
      <c r="O12" s="8"/>
      <c r="P12" s="8">
        <f t="shared" si="6"/>
        <v>39960</v>
      </c>
    </row>
    <row r="13" spans="1:16" s="1" customFormat="1" ht="20.85" customHeight="1" x14ac:dyDescent="0.25">
      <c r="A13" s="7">
        <v>11</v>
      </c>
      <c r="B13" s="88"/>
      <c r="C13" s="23" t="s">
        <v>230</v>
      </c>
      <c r="D13" s="7" t="s">
        <v>244</v>
      </c>
      <c r="E13" s="7"/>
      <c r="F13" s="7"/>
      <c r="G13" s="7"/>
      <c r="H13" s="8">
        <v>36700</v>
      </c>
      <c r="I13" s="8">
        <f t="shared" si="4"/>
        <v>37476</v>
      </c>
      <c r="J13" s="8" t="s">
        <v>335</v>
      </c>
      <c r="K13" s="8">
        <f t="shared" ref="K13:K16" si="9">I13*15</f>
        <v>562140</v>
      </c>
      <c r="L13" s="8">
        <f t="shared" si="3"/>
        <v>38016</v>
      </c>
      <c r="M13" s="11" t="s">
        <v>335</v>
      </c>
      <c r="N13" s="8">
        <v>542700</v>
      </c>
      <c r="O13" s="8"/>
      <c r="P13" s="8">
        <f t="shared" si="6"/>
        <v>39636</v>
      </c>
    </row>
    <row r="14" spans="1:16" s="1" customFormat="1" ht="20.85" customHeight="1" x14ac:dyDescent="0.25">
      <c r="A14" s="7">
        <v>12</v>
      </c>
      <c r="B14" s="88"/>
      <c r="C14" s="23" t="s">
        <v>231</v>
      </c>
      <c r="D14" s="7" t="s">
        <v>244</v>
      </c>
      <c r="E14" s="7"/>
      <c r="F14" s="7"/>
      <c r="G14" s="7"/>
      <c r="H14" s="8">
        <v>34900</v>
      </c>
      <c r="I14" s="8">
        <f t="shared" si="4"/>
        <v>35532</v>
      </c>
      <c r="J14" s="8" t="s">
        <v>335</v>
      </c>
      <c r="K14" s="8">
        <f t="shared" si="9"/>
        <v>532980</v>
      </c>
      <c r="L14" s="8">
        <f t="shared" si="3"/>
        <v>36072</v>
      </c>
      <c r="M14" s="11" t="s">
        <v>335</v>
      </c>
      <c r="N14" s="8">
        <v>513540</v>
      </c>
      <c r="O14" s="8"/>
      <c r="P14" s="8">
        <f t="shared" si="6"/>
        <v>37692</v>
      </c>
    </row>
    <row r="15" spans="1:16" s="1" customFormat="1" ht="20.85" customHeight="1" x14ac:dyDescent="0.25">
      <c r="A15" s="7">
        <v>13</v>
      </c>
      <c r="B15" s="88"/>
      <c r="C15" s="23" t="s">
        <v>232</v>
      </c>
      <c r="D15" s="7" t="s">
        <v>244</v>
      </c>
      <c r="E15" s="7"/>
      <c r="F15" s="7"/>
      <c r="G15" s="7"/>
      <c r="H15" s="8">
        <v>33900</v>
      </c>
      <c r="I15" s="8">
        <f t="shared" si="4"/>
        <v>34452</v>
      </c>
      <c r="J15" s="8" t="s">
        <v>335</v>
      </c>
      <c r="K15" s="8">
        <f t="shared" si="9"/>
        <v>516780</v>
      </c>
      <c r="L15" s="8">
        <f t="shared" si="3"/>
        <v>34992</v>
      </c>
      <c r="M15" s="11" t="s">
        <v>335</v>
      </c>
      <c r="N15" s="8">
        <v>497340</v>
      </c>
      <c r="O15" s="8"/>
      <c r="P15" s="8">
        <f t="shared" si="6"/>
        <v>36612</v>
      </c>
    </row>
    <row r="16" spans="1:16" s="1" customFormat="1" ht="20.85" customHeight="1" x14ac:dyDescent="0.25">
      <c r="A16" s="7">
        <v>14</v>
      </c>
      <c r="B16" s="88"/>
      <c r="C16" s="23" t="s">
        <v>233</v>
      </c>
      <c r="D16" s="7" t="s">
        <v>244</v>
      </c>
      <c r="E16" s="7"/>
      <c r="F16" s="7"/>
      <c r="G16" s="7"/>
      <c r="H16" s="8">
        <v>32900</v>
      </c>
      <c r="I16" s="8">
        <f t="shared" si="4"/>
        <v>33372</v>
      </c>
      <c r="J16" s="8" t="s">
        <v>335</v>
      </c>
      <c r="K16" s="8">
        <f t="shared" si="9"/>
        <v>500580</v>
      </c>
      <c r="L16" s="8">
        <f t="shared" si="3"/>
        <v>33912</v>
      </c>
      <c r="M16" s="11" t="s">
        <v>335</v>
      </c>
      <c r="N16" s="8">
        <v>489240</v>
      </c>
      <c r="O16" s="8"/>
      <c r="P16" s="8">
        <f t="shared" si="6"/>
        <v>35532</v>
      </c>
    </row>
    <row r="17" spans="1:16" s="1" customFormat="1" ht="20.85" hidden="1" customHeight="1" x14ac:dyDescent="0.25">
      <c r="A17" s="7">
        <v>15</v>
      </c>
      <c r="B17" s="78" t="s">
        <v>243</v>
      </c>
      <c r="C17" s="23" t="s">
        <v>234</v>
      </c>
      <c r="D17" s="7" t="s">
        <v>244</v>
      </c>
      <c r="E17" s="7"/>
      <c r="F17" s="7"/>
      <c r="G17" s="7"/>
      <c r="H17" s="8">
        <v>34800</v>
      </c>
      <c r="I17" s="8">
        <f t="shared" si="4"/>
        <v>35424</v>
      </c>
      <c r="J17" s="8"/>
      <c r="K17" s="8"/>
      <c r="L17" s="8">
        <f t="shared" si="3"/>
        <v>35964</v>
      </c>
      <c r="M17" s="11"/>
      <c r="N17" s="8"/>
      <c r="O17" s="8"/>
      <c r="P17" s="8">
        <f t="shared" si="6"/>
        <v>37584</v>
      </c>
    </row>
    <row r="18" spans="1:16" s="1" customFormat="1" ht="20.85" hidden="1" customHeight="1" x14ac:dyDescent="0.25">
      <c r="A18" s="7">
        <v>16</v>
      </c>
      <c r="B18" s="78"/>
      <c r="C18" s="23" t="s">
        <v>235</v>
      </c>
      <c r="D18" s="7" t="s">
        <v>244</v>
      </c>
      <c r="E18" s="7"/>
      <c r="F18" s="7"/>
      <c r="G18" s="7"/>
      <c r="H18" s="8">
        <v>34500</v>
      </c>
      <c r="I18" s="8">
        <f t="shared" si="4"/>
        <v>35100</v>
      </c>
      <c r="J18" s="8"/>
      <c r="K18" s="8"/>
      <c r="L18" s="8">
        <f t="shared" si="3"/>
        <v>35640</v>
      </c>
      <c r="M18" s="11"/>
      <c r="N18" s="8"/>
      <c r="O18" s="8"/>
      <c r="P18" s="8">
        <f t="shared" si="6"/>
        <v>37260</v>
      </c>
    </row>
    <row r="19" spans="1:16" s="1" customFormat="1" ht="20.85" hidden="1" customHeight="1" x14ac:dyDescent="0.25">
      <c r="A19" s="7">
        <v>17</v>
      </c>
      <c r="B19" s="78"/>
      <c r="C19" s="23" t="s">
        <v>236</v>
      </c>
      <c r="D19" s="7" t="s">
        <v>244</v>
      </c>
      <c r="E19" s="7"/>
      <c r="F19" s="7"/>
      <c r="G19" s="7"/>
      <c r="H19" s="8">
        <v>34000</v>
      </c>
      <c r="I19" s="8">
        <f t="shared" si="4"/>
        <v>34560</v>
      </c>
      <c r="J19" s="8"/>
      <c r="K19" s="8"/>
      <c r="L19" s="8">
        <f t="shared" si="3"/>
        <v>35100</v>
      </c>
      <c r="M19" s="11"/>
      <c r="N19" s="8"/>
      <c r="O19" s="8"/>
      <c r="P19" s="8">
        <f t="shared" si="6"/>
        <v>36720</v>
      </c>
    </row>
    <row r="20" spans="1:16" s="1" customFormat="1" ht="20.85" hidden="1" customHeight="1" x14ac:dyDescent="0.25">
      <c r="A20" s="7">
        <v>18</v>
      </c>
      <c r="B20" s="78"/>
      <c r="C20" s="23" t="s">
        <v>237</v>
      </c>
      <c r="D20" s="7" t="s">
        <v>244</v>
      </c>
      <c r="E20" s="7"/>
      <c r="F20" s="7"/>
      <c r="G20" s="7"/>
      <c r="H20" s="8">
        <v>33500</v>
      </c>
      <c r="I20" s="8">
        <f t="shared" si="4"/>
        <v>34020</v>
      </c>
      <c r="J20" s="8"/>
      <c r="K20" s="8"/>
      <c r="L20" s="8">
        <f t="shared" si="3"/>
        <v>34560</v>
      </c>
      <c r="M20" s="11"/>
      <c r="N20" s="8"/>
      <c r="O20" s="8"/>
      <c r="P20" s="8">
        <f t="shared" si="6"/>
        <v>36180</v>
      </c>
    </row>
  </sheetData>
  <mergeCells count="13">
    <mergeCell ref="I1:K1"/>
    <mergeCell ref="L1:N1"/>
    <mergeCell ref="B12:B16"/>
    <mergeCell ref="B17:B20"/>
    <mergeCell ref="D1:D2"/>
    <mergeCell ref="E1:E2"/>
    <mergeCell ref="F1:F2"/>
    <mergeCell ref="A1:C2"/>
    <mergeCell ref="H1:H2"/>
    <mergeCell ref="B3:B5"/>
    <mergeCell ref="B6:B8"/>
    <mergeCell ref="B9:B11"/>
    <mergeCell ref="G1:G2"/>
  </mergeCells>
  <pageMargins left="0.7" right="0.7" top="0.75" bottom="0.75" header="0.3" footer="0.3"/>
  <pageSetup scale="5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view="pageBreakPreview" topLeftCell="B1" zoomScaleNormal="100" zoomScaleSheetLayoutView="100" workbookViewId="0">
      <selection activeCell="D9" sqref="D9"/>
    </sheetView>
  </sheetViews>
  <sheetFormatPr defaultRowHeight="15" x14ac:dyDescent="0.25"/>
  <cols>
    <col min="2" max="2" width="14.42578125" customWidth="1"/>
    <col min="3" max="3" width="52.140625" customWidth="1"/>
    <col min="4" max="4" width="6.5703125" customWidth="1"/>
    <col min="5" max="9" width="11.5703125" customWidth="1"/>
    <col min="10" max="10" width="15" customWidth="1"/>
    <col min="11" max="11" width="13.85546875" customWidth="1"/>
  </cols>
  <sheetData>
    <row r="1" spans="1:11" ht="26.25" customHeight="1" x14ac:dyDescent="0.25">
      <c r="A1" s="81" t="s">
        <v>38</v>
      </c>
      <c r="B1" s="81"/>
      <c r="C1" s="81"/>
      <c r="D1" s="2"/>
      <c r="E1" s="76" t="s">
        <v>14</v>
      </c>
      <c r="F1" s="3" t="s">
        <v>10</v>
      </c>
      <c r="G1" s="3" t="s">
        <v>11</v>
      </c>
      <c r="H1" s="3" t="s">
        <v>12</v>
      </c>
      <c r="I1" s="76" t="s">
        <v>46</v>
      </c>
      <c r="J1" s="19" t="s">
        <v>47</v>
      </c>
      <c r="K1" s="21" t="s">
        <v>13</v>
      </c>
    </row>
    <row r="2" spans="1:11" ht="18" customHeight="1" x14ac:dyDescent="0.25">
      <c r="A2" s="81"/>
      <c r="B2" s="81"/>
      <c r="C2" s="81"/>
      <c r="D2" s="2"/>
      <c r="E2" s="82"/>
      <c r="F2" s="5">
        <v>0.2</v>
      </c>
      <c r="G2" s="5">
        <v>0.1</v>
      </c>
      <c r="H2" s="5">
        <v>0</v>
      </c>
      <c r="I2" s="77"/>
      <c r="J2" s="22">
        <v>0.35</v>
      </c>
      <c r="K2" s="22">
        <v>0.35</v>
      </c>
    </row>
    <row r="3" spans="1:11" s="1" customFormat="1" ht="20.85" customHeight="1" x14ac:dyDescent="0.25">
      <c r="A3" s="7">
        <v>1</v>
      </c>
      <c r="B3" s="78" t="s">
        <v>272</v>
      </c>
      <c r="C3" s="10" t="s">
        <v>39</v>
      </c>
      <c r="D3" s="7" t="s">
        <v>44</v>
      </c>
      <c r="E3" s="8">
        <v>26500</v>
      </c>
      <c r="F3" s="8">
        <f>(E3*(1-0.2))*1.08</f>
        <v>22896</v>
      </c>
      <c r="G3" s="8">
        <f>(E3*(1-0.1))*1.08</f>
        <v>25758</v>
      </c>
      <c r="H3" s="8">
        <f>(E3*(1-0))*1.08</f>
        <v>28620.000000000004</v>
      </c>
      <c r="I3" s="8">
        <f>F3*62</f>
        <v>1419552</v>
      </c>
      <c r="J3" s="20">
        <f>K3*62</f>
        <v>1153386</v>
      </c>
      <c r="K3" s="20">
        <f>(E3*0.65)*1.08</f>
        <v>18603</v>
      </c>
    </row>
    <row r="4" spans="1:11" s="1" customFormat="1" ht="20.85" customHeight="1" x14ac:dyDescent="0.25">
      <c r="A4" s="7">
        <v>2</v>
      </c>
      <c r="B4" s="78"/>
      <c r="C4" s="10" t="s">
        <v>40</v>
      </c>
      <c r="D4" s="7" t="s">
        <v>44</v>
      </c>
      <c r="E4" s="8">
        <v>26700</v>
      </c>
      <c r="F4" s="8">
        <f t="shared" ref="F4:F7" si="0">(E4*(1-0.2))*1.08</f>
        <v>23068.800000000003</v>
      </c>
      <c r="G4" s="8">
        <f t="shared" ref="G4:G7" si="1">(E4*(1-0.1))*1.08</f>
        <v>25952.400000000001</v>
      </c>
      <c r="H4" s="8">
        <f t="shared" ref="H4:H7" si="2">(E4*(1-0))*1.08</f>
        <v>28836.000000000004</v>
      </c>
      <c r="I4" s="8">
        <f>F4*44</f>
        <v>1015027.2000000002</v>
      </c>
      <c r="J4" s="20">
        <f>K4*44</f>
        <v>824709.60000000009</v>
      </c>
      <c r="K4" s="20">
        <f t="shared" ref="K4:K7" si="3">(E4*0.65)*1.08</f>
        <v>18743.400000000001</v>
      </c>
    </row>
    <row r="5" spans="1:11" s="1" customFormat="1" ht="20.85" customHeight="1" x14ac:dyDescent="0.25">
      <c r="A5" s="7">
        <v>3</v>
      </c>
      <c r="B5" s="78"/>
      <c r="C5" s="7" t="s">
        <v>41</v>
      </c>
      <c r="D5" s="7" t="s">
        <v>44</v>
      </c>
      <c r="E5" s="8">
        <v>30600</v>
      </c>
      <c r="F5" s="8">
        <f t="shared" si="0"/>
        <v>26438.400000000001</v>
      </c>
      <c r="G5" s="8">
        <f t="shared" si="1"/>
        <v>29743.200000000001</v>
      </c>
      <c r="H5" s="8">
        <f t="shared" si="2"/>
        <v>33048</v>
      </c>
      <c r="I5" s="8">
        <f>F5*62</f>
        <v>1639180.8</v>
      </c>
      <c r="J5" s="20">
        <f>K5*62</f>
        <v>1331834.4000000001</v>
      </c>
      <c r="K5" s="20">
        <f t="shared" si="3"/>
        <v>21481.200000000001</v>
      </c>
    </row>
    <row r="6" spans="1:11" s="1" customFormat="1" ht="20.85" customHeight="1" x14ac:dyDescent="0.25">
      <c r="A6" s="7">
        <v>4</v>
      </c>
      <c r="B6" s="78"/>
      <c r="C6" s="7" t="s">
        <v>42</v>
      </c>
      <c r="D6" s="7" t="s">
        <v>44</v>
      </c>
      <c r="E6" s="8">
        <v>37700</v>
      </c>
      <c r="F6" s="8">
        <f t="shared" si="0"/>
        <v>32572.800000000003</v>
      </c>
      <c r="G6" s="8">
        <f t="shared" si="1"/>
        <v>36644.400000000001</v>
      </c>
      <c r="H6" s="8">
        <f t="shared" si="2"/>
        <v>40716</v>
      </c>
      <c r="I6" s="8">
        <f>F6*62</f>
        <v>2019513.6</v>
      </c>
      <c r="J6" s="20">
        <f>K6*62</f>
        <v>1640854.8</v>
      </c>
      <c r="K6" s="20">
        <f t="shared" si="3"/>
        <v>26465.4</v>
      </c>
    </row>
    <row r="7" spans="1:11" s="1" customFormat="1" ht="20.85" customHeight="1" x14ac:dyDescent="0.25">
      <c r="A7" s="7">
        <v>5</v>
      </c>
      <c r="B7" s="78"/>
      <c r="C7" s="7" t="s">
        <v>43</v>
      </c>
      <c r="D7" s="7" t="s">
        <v>45</v>
      </c>
      <c r="E7" s="8">
        <v>40500</v>
      </c>
      <c r="F7" s="8">
        <f t="shared" si="0"/>
        <v>34992</v>
      </c>
      <c r="G7" s="8">
        <f t="shared" si="1"/>
        <v>39366</v>
      </c>
      <c r="H7" s="8">
        <f t="shared" si="2"/>
        <v>43740</v>
      </c>
      <c r="I7" s="8"/>
      <c r="J7" s="9"/>
      <c r="K7" s="20">
        <f t="shared" si="3"/>
        <v>28431.000000000004</v>
      </c>
    </row>
  </sheetData>
  <mergeCells count="4">
    <mergeCell ref="A1:C2"/>
    <mergeCell ref="E1:E2"/>
    <mergeCell ref="B3:B7"/>
    <mergeCell ref="I1:I2"/>
  </mergeCells>
  <pageMargins left="0.7" right="0.7" top="0.75" bottom="0.75" header="0.3" footer="0.3"/>
  <pageSetup scale="53"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view="pageBreakPreview" zoomScaleNormal="100" zoomScaleSheetLayoutView="100" workbookViewId="0">
      <selection activeCell="E11" sqref="E11"/>
    </sheetView>
  </sheetViews>
  <sheetFormatPr defaultRowHeight="15" x14ac:dyDescent="0.25"/>
  <cols>
    <col min="2" max="2" width="14.42578125" customWidth="1"/>
    <col min="3" max="3" width="57.85546875" customWidth="1"/>
    <col min="4" max="4" width="6.5703125" customWidth="1"/>
    <col min="5" max="8" width="11.5703125" customWidth="1"/>
    <col min="9" max="9" width="13.85546875" customWidth="1"/>
  </cols>
  <sheetData>
    <row r="1" spans="1:9" ht="26.25" customHeight="1" x14ac:dyDescent="0.25">
      <c r="A1" s="81" t="s">
        <v>58</v>
      </c>
      <c r="B1" s="81"/>
      <c r="C1" s="81"/>
      <c r="D1" s="2"/>
      <c r="E1" s="76" t="s">
        <v>14</v>
      </c>
      <c r="F1" s="3" t="s">
        <v>10</v>
      </c>
      <c r="G1" s="3" t="s">
        <v>11</v>
      </c>
      <c r="H1" s="3" t="s">
        <v>12</v>
      </c>
      <c r="I1" s="21" t="s">
        <v>13</v>
      </c>
    </row>
    <row r="2" spans="1:9" ht="18" customHeight="1" x14ac:dyDescent="0.25">
      <c r="A2" s="81"/>
      <c r="B2" s="81"/>
      <c r="C2" s="81"/>
      <c r="D2" s="2"/>
      <c r="E2" s="82"/>
      <c r="F2" s="5">
        <v>0.2</v>
      </c>
      <c r="G2" s="5">
        <v>0.1</v>
      </c>
      <c r="H2" s="5">
        <v>0</v>
      </c>
      <c r="I2" s="22">
        <v>0.35</v>
      </c>
    </row>
    <row r="3" spans="1:9" s="1" customFormat="1" ht="20.85" customHeight="1" x14ac:dyDescent="0.25">
      <c r="A3" s="7">
        <v>1</v>
      </c>
      <c r="B3" s="78" t="s">
        <v>56</v>
      </c>
      <c r="C3" s="10" t="s">
        <v>48</v>
      </c>
      <c r="D3" s="10" t="s">
        <v>57</v>
      </c>
      <c r="E3" s="11">
        <v>103000</v>
      </c>
      <c r="F3" s="11">
        <f>(E3*0.8)*1.08</f>
        <v>88992</v>
      </c>
      <c r="G3" s="11">
        <f>(E3*0.9)*1.08</f>
        <v>100116</v>
      </c>
      <c r="H3" s="11">
        <f>(E3*1)*1.08</f>
        <v>111240.00000000001</v>
      </c>
      <c r="I3" s="20">
        <f>(E3*0.65)*1.08</f>
        <v>72306</v>
      </c>
    </row>
    <row r="4" spans="1:9" s="1" customFormat="1" ht="20.85" customHeight="1" x14ac:dyDescent="0.25">
      <c r="A4" s="7">
        <v>2</v>
      </c>
      <c r="B4" s="78"/>
      <c r="C4" s="10" t="s">
        <v>49</v>
      </c>
      <c r="D4" s="10" t="s">
        <v>57</v>
      </c>
      <c r="E4" s="11">
        <v>129000</v>
      </c>
      <c r="F4" s="11">
        <f t="shared" ref="F4:F10" si="0">(E4*0.8)*1.08</f>
        <v>111456.00000000001</v>
      </c>
      <c r="G4" s="11">
        <f t="shared" ref="G4:G10" si="1">(E4*0.9)*1.08</f>
        <v>125388.00000000001</v>
      </c>
      <c r="H4" s="11">
        <f t="shared" ref="H4:H10" si="2">(E4*1)*1.08</f>
        <v>139320</v>
      </c>
      <c r="I4" s="20">
        <f t="shared" ref="I4:I10" si="3">(E4*0.65)*1.08</f>
        <v>90558</v>
      </c>
    </row>
    <row r="5" spans="1:9" s="1" customFormat="1" ht="20.85" customHeight="1" x14ac:dyDescent="0.25">
      <c r="A5" s="7">
        <v>3</v>
      </c>
      <c r="B5" s="78"/>
      <c r="C5" s="10" t="s">
        <v>50</v>
      </c>
      <c r="D5" s="10" t="s">
        <v>57</v>
      </c>
      <c r="E5" s="11">
        <v>159000</v>
      </c>
      <c r="F5" s="11">
        <f t="shared" si="0"/>
        <v>137376</v>
      </c>
      <c r="G5" s="11">
        <f t="shared" si="1"/>
        <v>154548</v>
      </c>
      <c r="H5" s="11">
        <f t="shared" si="2"/>
        <v>171720</v>
      </c>
      <c r="I5" s="20">
        <f t="shared" si="3"/>
        <v>111618.00000000001</v>
      </c>
    </row>
    <row r="6" spans="1:9" s="1" customFormat="1" ht="20.85" customHeight="1" x14ac:dyDescent="0.25">
      <c r="A6" s="7">
        <v>4</v>
      </c>
      <c r="B6" s="78"/>
      <c r="C6" s="7" t="s">
        <v>51</v>
      </c>
      <c r="D6" s="7" t="s">
        <v>57</v>
      </c>
      <c r="E6" s="8">
        <v>225000</v>
      </c>
      <c r="F6" s="8">
        <f t="shared" si="0"/>
        <v>194400</v>
      </c>
      <c r="G6" s="8">
        <f t="shared" si="1"/>
        <v>218700</v>
      </c>
      <c r="H6" s="8">
        <f t="shared" si="2"/>
        <v>243000.00000000003</v>
      </c>
      <c r="I6" s="9">
        <f t="shared" si="3"/>
        <v>157950</v>
      </c>
    </row>
    <row r="7" spans="1:9" s="1" customFormat="1" ht="20.85" customHeight="1" x14ac:dyDescent="0.25">
      <c r="A7" s="7">
        <v>5</v>
      </c>
      <c r="B7" s="78"/>
      <c r="C7" s="7" t="s">
        <v>52</v>
      </c>
      <c r="D7" s="7" t="s">
        <v>57</v>
      </c>
      <c r="E7" s="8">
        <v>280000</v>
      </c>
      <c r="F7" s="8">
        <f t="shared" si="0"/>
        <v>241920.00000000003</v>
      </c>
      <c r="G7" s="8">
        <f t="shared" si="1"/>
        <v>272160</v>
      </c>
      <c r="H7" s="8">
        <f t="shared" si="2"/>
        <v>302400</v>
      </c>
      <c r="I7" s="9">
        <f t="shared" si="3"/>
        <v>196560</v>
      </c>
    </row>
    <row r="8" spans="1:9" s="1" customFormat="1" ht="20.85" customHeight="1" x14ac:dyDescent="0.25">
      <c r="A8" s="7">
        <v>6</v>
      </c>
      <c r="B8" s="78"/>
      <c r="C8" s="7" t="s">
        <v>53</v>
      </c>
      <c r="D8" s="7" t="s">
        <v>57</v>
      </c>
      <c r="E8" s="8">
        <v>358000</v>
      </c>
      <c r="F8" s="8">
        <f t="shared" si="0"/>
        <v>309312</v>
      </c>
      <c r="G8" s="8">
        <f t="shared" si="1"/>
        <v>347976</v>
      </c>
      <c r="H8" s="8">
        <f t="shared" si="2"/>
        <v>386640</v>
      </c>
      <c r="I8" s="9">
        <f t="shared" si="3"/>
        <v>251316.00000000003</v>
      </c>
    </row>
    <row r="9" spans="1:9" s="1" customFormat="1" ht="20.85" customHeight="1" x14ac:dyDescent="0.25">
      <c r="A9" s="7">
        <v>7</v>
      </c>
      <c r="B9" s="78"/>
      <c r="C9" s="7" t="s">
        <v>54</v>
      </c>
      <c r="D9" s="7" t="s">
        <v>57</v>
      </c>
      <c r="E9" s="8">
        <v>445000</v>
      </c>
      <c r="F9" s="8">
        <f t="shared" si="0"/>
        <v>384480</v>
      </c>
      <c r="G9" s="8">
        <f t="shared" si="1"/>
        <v>432540</v>
      </c>
      <c r="H9" s="8">
        <f t="shared" si="2"/>
        <v>480600.00000000006</v>
      </c>
      <c r="I9" s="9">
        <f t="shared" si="3"/>
        <v>312390</v>
      </c>
    </row>
    <row r="10" spans="1:9" s="1" customFormat="1" ht="20.85" customHeight="1" x14ac:dyDescent="0.25">
      <c r="A10" s="7">
        <v>8</v>
      </c>
      <c r="B10" s="78"/>
      <c r="C10" s="7" t="s">
        <v>55</v>
      </c>
      <c r="D10" s="7" t="s">
        <v>57</v>
      </c>
      <c r="E10" s="8">
        <v>557000</v>
      </c>
      <c r="F10" s="8">
        <f t="shared" si="0"/>
        <v>481248.00000000006</v>
      </c>
      <c r="G10" s="8">
        <f t="shared" si="1"/>
        <v>541404</v>
      </c>
      <c r="H10" s="8">
        <f t="shared" si="2"/>
        <v>601560</v>
      </c>
      <c r="I10" s="9">
        <f t="shared" si="3"/>
        <v>391014</v>
      </c>
    </row>
  </sheetData>
  <mergeCells count="3">
    <mergeCell ref="A1:C2"/>
    <mergeCell ref="E1:E2"/>
    <mergeCell ref="B3:B10"/>
  </mergeCells>
  <pageMargins left="0.7" right="0.7" top="0.75" bottom="0.75" header="0.3" footer="0.3"/>
  <pageSetup scale="61"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view="pageBreakPreview" zoomScaleNormal="100" zoomScaleSheetLayoutView="100" workbookViewId="0">
      <selection activeCell="G18" sqref="G18"/>
    </sheetView>
  </sheetViews>
  <sheetFormatPr defaultRowHeight="15" x14ac:dyDescent="0.25"/>
  <cols>
    <col min="1" max="1" width="4" customWidth="1"/>
    <col min="2" max="2" width="62.140625" customWidth="1"/>
    <col min="3" max="3" width="7.7109375" customWidth="1"/>
    <col min="4" max="4" width="12.42578125" customWidth="1"/>
    <col min="5" max="7" width="13.85546875" customWidth="1"/>
  </cols>
  <sheetData>
    <row r="1" spans="1:7" ht="23.65" customHeight="1" x14ac:dyDescent="0.25">
      <c r="A1" s="81" t="s">
        <v>336</v>
      </c>
      <c r="B1" s="81"/>
      <c r="C1" s="76" t="s">
        <v>115</v>
      </c>
      <c r="D1" s="76" t="s">
        <v>286</v>
      </c>
      <c r="E1" s="76" t="s">
        <v>350</v>
      </c>
      <c r="F1" s="76" t="s">
        <v>351</v>
      </c>
      <c r="G1" s="76" t="s">
        <v>352</v>
      </c>
    </row>
    <row r="2" spans="1:7" ht="18" customHeight="1" x14ac:dyDescent="0.25">
      <c r="A2" s="81"/>
      <c r="B2" s="81"/>
      <c r="C2" s="77"/>
      <c r="D2" s="77"/>
      <c r="E2" s="82"/>
      <c r="F2" s="82"/>
      <c r="G2" s="82"/>
    </row>
    <row r="3" spans="1:7" s="31" customFormat="1" ht="13.9" customHeight="1" x14ac:dyDescent="0.25">
      <c r="A3" s="29">
        <v>1</v>
      </c>
      <c r="B3" s="32" t="s">
        <v>288</v>
      </c>
      <c r="C3" s="30" t="s">
        <v>30</v>
      </c>
      <c r="D3" s="8">
        <v>99360</v>
      </c>
      <c r="E3" s="8">
        <f>(D3*(1-0.5))*1</f>
        <v>49680</v>
      </c>
      <c r="F3" s="8">
        <f>(D3*(1-0.45))*1</f>
        <v>54648.000000000007</v>
      </c>
      <c r="G3" s="8">
        <f>(D3*(1-0.4))*1</f>
        <v>59616</v>
      </c>
    </row>
    <row r="4" spans="1:7" s="31" customFormat="1" ht="13.9" customHeight="1" x14ac:dyDescent="0.25">
      <c r="A4" s="29">
        <v>2</v>
      </c>
      <c r="B4" s="32" t="s">
        <v>289</v>
      </c>
      <c r="C4" s="30" t="s">
        <v>30</v>
      </c>
      <c r="D4" s="8">
        <v>99360</v>
      </c>
      <c r="E4" s="8">
        <f t="shared" ref="E4:E22" si="0">(D4*(1-0.5))*1</f>
        <v>49680</v>
      </c>
      <c r="F4" s="8">
        <f t="shared" ref="F4:F22" si="1">(D4*(1-0.45))*1</f>
        <v>54648.000000000007</v>
      </c>
      <c r="G4" s="8">
        <f t="shared" ref="G4:G22" si="2">(D4*(1-0.4))*1</f>
        <v>59616</v>
      </c>
    </row>
    <row r="5" spans="1:7" s="31" customFormat="1" ht="13.9" customHeight="1" x14ac:dyDescent="0.25">
      <c r="A5" s="29">
        <v>3</v>
      </c>
      <c r="B5" s="32" t="s">
        <v>290</v>
      </c>
      <c r="C5" s="30" t="s">
        <v>30</v>
      </c>
      <c r="D5" s="8">
        <v>99360</v>
      </c>
      <c r="E5" s="8">
        <f t="shared" si="0"/>
        <v>49680</v>
      </c>
      <c r="F5" s="8">
        <f t="shared" si="1"/>
        <v>54648.000000000007</v>
      </c>
      <c r="G5" s="8">
        <f t="shared" si="2"/>
        <v>59616</v>
      </c>
    </row>
    <row r="6" spans="1:7" s="31" customFormat="1" ht="13.9" customHeight="1" x14ac:dyDescent="0.25">
      <c r="A6" s="29">
        <v>4</v>
      </c>
      <c r="B6" s="32" t="s">
        <v>291</v>
      </c>
      <c r="C6" s="30" t="s">
        <v>30</v>
      </c>
      <c r="D6" s="8">
        <v>99360</v>
      </c>
      <c r="E6" s="8">
        <f t="shared" si="0"/>
        <v>49680</v>
      </c>
      <c r="F6" s="8">
        <f t="shared" si="1"/>
        <v>54648.000000000007</v>
      </c>
      <c r="G6" s="8">
        <f t="shared" si="2"/>
        <v>59616</v>
      </c>
    </row>
    <row r="7" spans="1:7" s="31" customFormat="1" ht="13.9" customHeight="1" x14ac:dyDescent="0.25">
      <c r="A7" s="29">
        <v>5</v>
      </c>
      <c r="B7" s="32" t="s">
        <v>292</v>
      </c>
      <c r="C7" s="30" t="s">
        <v>30</v>
      </c>
      <c r="D7" s="8">
        <v>99360</v>
      </c>
      <c r="E7" s="8">
        <f t="shared" si="0"/>
        <v>49680</v>
      </c>
      <c r="F7" s="8">
        <f t="shared" si="1"/>
        <v>54648.000000000007</v>
      </c>
      <c r="G7" s="8">
        <f t="shared" si="2"/>
        <v>59616</v>
      </c>
    </row>
    <row r="8" spans="1:7" s="31" customFormat="1" ht="13.9" customHeight="1" x14ac:dyDescent="0.25">
      <c r="A8" s="29">
        <v>6</v>
      </c>
      <c r="B8" s="32" t="s">
        <v>293</v>
      </c>
      <c r="C8" s="30" t="s">
        <v>30</v>
      </c>
      <c r="D8" s="8">
        <v>286200</v>
      </c>
      <c r="E8" s="8">
        <f t="shared" si="0"/>
        <v>143100</v>
      </c>
      <c r="F8" s="8">
        <f t="shared" si="1"/>
        <v>157410</v>
      </c>
      <c r="G8" s="8">
        <f t="shared" si="2"/>
        <v>171720</v>
      </c>
    </row>
    <row r="9" spans="1:7" s="31" customFormat="1" ht="13.9" customHeight="1" x14ac:dyDescent="0.25">
      <c r="A9" s="29">
        <v>7</v>
      </c>
      <c r="B9" s="32" t="s">
        <v>294</v>
      </c>
      <c r="C9" s="30" t="s">
        <v>30</v>
      </c>
      <c r="D9" s="8">
        <v>286200</v>
      </c>
      <c r="E9" s="8">
        <f t="shared" si="0"/>
        <v>143100</v>
      </c>
      <c r="F9" s="8">
        <f t="shared" si="1"/>
        <v>157410</v>
      </c>
      <c r="G9" s="8">
        <f t="shared" si="2"/>
        <v>171720</v>
      </c>
    </row>
    <row r="10" spans="1:7" s="31" customFormat="1" ht="13.9" customHeight="1" x14ac:dyDescent="0.25">
      <c r="A10" s="29">
        <v>8</v>
      </c>
      <c r="B10" s="32" t="s">
        <v>295</v>
      </c>
      <c r="C10" s="30" t="s">
        <v>30</v>
      </c>
      <c r="D10" s="8">
        <v>286200</v>
      </c>
      <c r="E10" s="8">
        <f t="shared" si="0"/>
        <v>143100</v>
      </c>
      <c r="F10" s="8">
        <f t="shared" si="1"/>
        <v>157410</v>
      </c>
      <c r="G10" s="8">
        <f t="shared" si="2"/>
        <v>171720</v>
      </c>
    </row>
    <row r="11" spans="1:7" s="31" customFormat="1" ht="13.9" customHeight="1" x14ac:dyDescent="0.25">
      <c r="A11" s="29">
        <v>9</v>
      </c>
      <c r="B11" s="32" t="s">
        <v>296</v>
      </c>
      <c r="C11" s="30" t="s">
        <v>30</v>
      </c>
      <c r="D11" s="8">
        <v>286200</v>
      </c>
      <c r="E11" s="8">
        <f t="shared" si="0"/>
        <v>143100</v>
      </c>
      <c r="F11" s="8">
        <f t="shared" si="1"/>
        <v>157410</v>
      </c>
      <c r="G11" s="8">
        <f t="shared" si="2"/>
        <v>171720</v>
      </c>
    </row>
    <row r="12" spans="1:7" s="31" customFormat="1" ht="13.9" customHeight="1" x14ac:dyDescent="0.25">
      <c r="A12" s="29">
        <v>10</v>
      </c>
      <c r="B12" s="32" t="s">
        <v>297</v>
      </c>
      <c r="C12" s="30" t="s">
        <v>30</v>
      </c>
      <c r="D12" s="8">
        <v>286200</v>
      </c>
      <c r="E12" s="8">
        <f t="shared" si="0"/>
        <v>143100</v>
      </c>
      <c r="F12" s="8">
        <f t="shared" si="1"/>
        <v>157410</v>
      </c>
      <c r="G12" s="8">
        <f t="shared" si="2"/>
        <v>171720</v>
      </c>
    </row>
    <row r="13" spans="1:7" s="31" customFormat="1" ht="13.9" customHeight="1" x14ac:dyDescent="0.25">
      <c r="A13" s="29">
        <v>11</v>
      </c>
      <c r="B13" s="32" t="s">
        <v>298</v>
      </c>
      <c r="C13" s="30" t="s">
        <v>30</v>
      </c>
      <c r="D13" s="8">
        <v>286200</v>
      </c>
      <c r="E13" s="8">
        <f t="shared" si="0"/>
        <v>143100</v>
      </c>
      <c r="F13" s="8">
        <f t="shared" si="1"/>
        <v>157410</v>
      </c>
      <c r="G13" s="8">
        <f t="shared" si="2"/>
        <v>171720</v>
      </c>
    </row>
    <row r="14" spans="1:7" s="31" customFormat="1" ht="13.9" customHeight="1" x14ac:dyDescent="0.25">
      <c r="A14" s="29">
        <v>12</v>
      </c>
      <c r="B14" s="32" t="s">
        <v>299</v>
      </c>
      <c r="C14" s="30" t="s">
        <v>30</v>
      </c>
      <c r="D14" s="8">
        <v>476280</v>
      </c>
      <c r="E14" s="8">
        <f t="shared" si="0"/>
        <v>238140</v>
      </c>
      <c r="F14" s="8">
        <f t="shared" si="1"/>
        <v>261954.00000000003</v>
      </c>
      <c r="G14" s="8">
        <f t="shared" si="2"/>
        <v>285768</v>
      </c>
    </row>
    <row r="15" spans="1:7" s="31" customFormat="1" ht="13.9" customHeight="1" x14ac:dyDescent="0.25">
      <c r="A15" s="29">
        <v>13</v>
      </c>
      <c r="B15" s="32" t="s">
        <v>300</v>
      </c>
      <c r="C15" s="30" t="s">
        <v>30</v>
      </c>
      <c r="D15" s="8">
        <v>476280</v>
      </c>
      <c r="E15" s="8">
        <f t="shared" si="0"/>
        <v>238140</v>
      </c>
      <c r="F15" s="8">
        <f t="shared" si="1"/>
        <v>261954.00000000003</v>
      </c>
      <c r="G15" s="8">
        <f t="shared" si="2"/>
        <v>285768</v>
      </c>
    </row>
    <row r="16" spans="1:7" s="31" customFormat="1" ht="13.9" customHeight="1" x14ac:dyDescent="0.25">
      <c r="A16" s="29">
        <v>14</v>
      </c>
      <c r="B16" s="32" t="s">
        <v>301</v>
      </c>
      <c r="C16" s="30" t="s">
        <v>30</v>
      </c>
      <c r="D16" s="8">
        <v>509760</v>
      </c>
      <c r="E16" s="8">
        <f t="shared" si="0"/>
        <v>254880</v>
      </c>
      <c r="F16" s="8">
        <f t="shared" si="1"/>
        <v>280368</v>
      </c>
      <c r="G16" s="8">
        <f t="shared" si="2"/>
        <v>305856</v>
      </c>
    </row>
    <row r="17" spans="1:7" s="31" customFormat="1" ht="13.9" customHeight="1" x14ac:dyDescent="0.25">
      <c r="A17" s="29">
        <v>15</v>
      </c>
      <c r="B17" s="32" t="s">
        <v>302</v>
      </c>
      <c r="C17" s="30" t="s">
        <v>30</v>
      </c>
      <c r="D17" s="8">
        <v>509760</v>
      </c>
      <c r="E17" s="8">
        <f t="shared" si="0"/>
        <v>254880</v>
      </c>
      <c r="F17" s="8">
        <f t="shared" si="1"/>
        <v>280368</v>
      </c>
      <c r="G17" s="8">
        <f t="shared" si="2"/>
        <v>305856</v>
      </c>
    </row>
    <row r="18" spans="1:7" s="31" customFormat="1" ht="13.9" customHeight="1" x14ac:dyDescent="0.25">
      <c r="A18" s="29">
        <v>16</v>
      </c>
      <c r="B18" s="32" t="s">
        <v>303</v>
      </c>
      <c r="C18" s="30" t="s">
        <v>30</v>
      </c>
      <c r="D18" s="8">
        <v>762480</v>
      </c>
      <c r="E18" s="8">
        <f t="shared" si="0"/>
        <v>381240</v>
      </c>
      <c r="F18" s="8">
        <f t="shared" si="1"/>
        <v>419364.00000000006</v>
      </c>
      <c r="G18" s="8">
        <f t="shared" si="2"/>
        <v>457488</v>
      </c>
    </row>
    <row r="19" spans="1:7" s="31" customFormat="1" ht="13.9" customHeight="1" x14ac:dyDescent="0.25">
      <c r="A19" s="29">
        <v>17</v>
      </c>
      <c r="B19" s="32" t="s">
        <v>304</v>
      </c>
      <c r="C19" s="30" t="s">
        <v>30</v>
      </c>
      <c r="D19" s="8">
        <v>762480</v>
      </c>
      <c r="E19" s="8">
        <f t="shared" si="0"/>
        <v>381240</v>
      </c>
      <c r="F19" s="8">
        <f t="shared" si="1"/>
        <v>419364.00000000006</v>
      </c>
      <c r="G19" s="8">
        <f t="shared" si="2"/>
        <v>457488</v>
      </c>
    </row>
    <row r="20" spans="1:7" s="31" customFormat="1" ht="13.9" customHeight="1" x14ac:dyDescent="0.25">
      <c r="A20" s="29">
        <v>18</v>
      </c>
      <c r="B20" s="32" t="s">
        <v>305</v>
      </c>
      <c r="C20" s="30" t="s">
        <v>30</v>
      </c>
      <c r="D20" s="8">
        <v>1023840</v>
      </c>
      <c r="E20" s="8">
        <f t="shared" si="0"/>
        <v>511920</v>
      </c>
      <c r="F20" s="8">
        <f t="shared" si="1"/>
        <v>563112</v>
      </c>
      <c r="G20" s="8">
        <f t="shared" si="2"/>
        <v>614304</v>
      </c>
    </row>
    <row r="21" spans="1:7" s="31" customFormat="1" ht="13.9" customHeight="1" x14ac:dyDescent="0.25">
      <c r="A21" s="29">
        <v>19</v>
      </c>
      <c r="B21" s="32" t="s">
        <v>306</v>
      </c>
      <c r="C21" s="30" t="s">
        <v>30</v>
      </c>
      <c r="D21" s="8">
        <v>1087560</v>
      </c>
      <c r="E21" s="8">
        <f t="shared" si="0"/>
        <v>543780</v>
      </c>
      <c r="F21" s="8">
        <f t="shared" si="1"/>
        <v>598158</v>
      </c>
      <c r="G21" s="8">
        <f t="shared" si="2"/>
        <v>652536</v>
      </c>
    </row>
    <row r="22" spans="1:7" s="31" customFormat="1" ht="13.9" customHeight="1" x14ac:dyDescent="0.25">
      <c r="A22" s="29">
        <v>20</v>
      </c>
      <c r="B22" s="32" t="s">
        <v>307</v>
      </c>
      <c r="C22" s="30" t="s">
        <v>30</v>
      </c>
      <c r="D22" s="8">
        <v>1125360</v>
      </c>
      <c r="E22" s="8">
        <f t="shared" si="0"/>
        <v>562680</v>
      </c>
      <c r="F22" s="8">
        <f t="shared" si="1"/>
        <v>618948</v>
      </c>
      <c r="G22" s="8">
        <f t="shared" si="2"/>
        <v>675216</v>
      </c>
    </row>
  </sheetData>
  <mergeCells count="6">
    <mergeCell ref="G1:G2"/>
    <mergeCell ref="A1:B2"/>
    <mergeCell ref="C1:C2"/>
    <mergeCell ref="D1:D2"/>
    <mergeCell ref="E1:E2"/>
    <mergeCell ref="F1:F2"/>
  </mergeCells>
  <pageMargins left="0.7" right="0.7" top="0.75" bottom="0.75" header="0.3" footer="0.3"/>
  <pageSetup scale="58"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7"/>
  <sheetViews>
    <sheetView view="pageBreakPreview" zoomScaleNormal="100" zoomScaleSheetLayoutView="100" workbookViewId="0">
      <selection activeCell="H3" sqref="H3"/>
    </sheetView>
  </sheetViews>
  <sheetFormatPr defaultRowHeight="15" x14ac:dyDescent="0.25"/>
  <cols>
    <col min="1" max="1" width="4" customWidth="1"/>
    <col min="2" max="2" width="69.85546875" customWidth="1"/>
    <col min="3" max="3" width="7.7109375" customWidth="1"/>
    <col min="4" max="4" width="9.5703125" customWidth="1"/>
    <col min="5" max="5" width="10.7109375" customWidth="1"/>
    <col min="6" max="9" width="13.85546875" customWidth="1"/>
    <col min="10" max="10" width="9.140625" customWidth="1"/>
  </cols>
  <sheetData>
    <row r="1" spans="1:10" ht="23.65" customHeight="1" x14ac:dyDescent="0.25">
      <c r="A1" s="81" t="s">
        <v>316</v>
      </c>
      <c r="B1" s="81"/>
      <c r="C1" s="76" t="s">
        <v>115</v>
      </c>
      <c r="D1" s="76" t="s">
        <v>158</v>
      </c>
      <c r="E1" s="76" t="s">
        <v>353</v>
      </c>
      <c r="F1" s="3" t="s">
        <v>10</v>
      </c>
      <c r="G1" s="3" t="s">
        <v>11</v>
      </c>
      <c r="H1" s="3" t="s">
        <v>12</v>
      </c>
      <c r="I1" s="4" t="s">
        <v>13</v>
      </c>
      <c r="J1" s="116" t="s">
        <v>159</v>
      </c>
    </row>
    <row r="2" spans="1:10" ht="15.75" customHeight="1" x14ac:dyDescent="0.25">
      <c r="A2" s="81"/>
      <c r="B2" s="81"/>
      <c r="C2" s="77"/>
      <c r="D2" s="77"/>
      <c r="E2" s="77"/>
      <c r="F2" s="5">
        <v>0.2</v>
      </c>
      <c r="G2" s="5">
        <v>0.1</v>
      </c>
      <c r="H2" s="5">
        <v>0</v>
      </c>
      <c r="I2" s="6">
        <v>0.35</v>
      </c>
      <c r="J2" s="116"/>
    </row>
    <row r="3" spans="1:10" s="31" customFormat="1" ht="13.9" customHeight="1" x14ac:dyDescent="0.25">
      <c r="A3" s="29">
        <v>1</v>
      </c>
      <c r="B3" s="30" t="s">
        <v>135</v>
      </c>
      <c r="C3" s="30" t="s">
        <v>30</v>
      </c>
      <c r="D3" s="30">
        <v>100</v>
      </c>
      <c r="E3" s="51">
        <v>20.52</v>
      </c>
      <c r="F3" s="52">
        <f>(E3*0.8)</f>
        <v>16.416</v>
      </c>
      <c r="G3" s="52">
        <f>(E3*0.9)</f>
        <v>18.468</v>
      </c>
      <c r="H3" s="52">
        <f>(E3*1)</f>
        <v>20.52</v>
      </c>
      <c r="I3" s="53">
        <f>(E3*0.65)</f>
        <v>13.338000000000001</v>
      </c>
      <c r="J3" s="120" t="s">
        <v>160</v>
      </c>
    </row>
    <row r="4" spans="1:10" s="31" customFormat="1" ht="13.9" customHeight="1" x14ac:dyDescent="0.25">
      <c r="A4" s="29">
        <v>2</v>
      </c>
      <c r="B4" s="30" t="s">
        <v>136</v>
      </c>
      <c r="C4" s="30" t="s">
        <v>30</v>
      </c>
      <c r="D4" s="30">
        <v>100</v>
      </c>
      <c r="E4" s="51">
        <v>23.76</v>
      </c>
      <c r="F4" s="52">
        <f t="shared" ref="F4:F25" si="0">(E4*0.8)</f>
        <v>19.008000000000003</v>
      </c>
      <c r="G4" s="52">
        <f t="shared" ref="G4:G25" si="1">(E4*0.9)</f>
        <v>21.384</v>
      </c>
      <c r="H4" s="52">
        <f t="shared" ref="H4:H25" si="2">(E4*1)</f>
        <v>23.76</v>
      </c>
      <c r="I4" s="53">
        <f t="shared" ref="I4:I25" si="3">(E4*0.65)</f>
        <v>15.444000000000001</v>
      </c>
      <c r="J4" s="120"/>
    </row>
    <row r="5" spans="1:10" s="31" customFormat="1" ht="13.9" customHeight="1" x14ac:dyDescent="0.25">
      <c r="A5" s="29">
        <v>3</v>
      </c>
      <c r="B5" s="30" t="s">
        <v>137</v>
      </c>
      <c r="C5" s="30" t="s">
        <v>30</v>
      </c>
      <c r="D5" s="30">
        <v>100</v>
      </c>
      <c r="E5" s="51">
        <v>29.16</v>
      </c>
      <c r="F5" s="52">
        <f t="shared" si="0"/>
        <v>23.328000000000003</v>
      </c>
      <c r="G5" s="52">
        <f t="shared" si="1"/>
        <v>26.244</v>
      </c>
      <c r="H5" s="52">
        <f t="shared" si="2"/>
        <v>29.16</v>
      </c>
      <c r="I5" s="53">
        <f t="shared" si="3"/>
        <v>18.954000000000001</v>
      </c>
      <c r="J5" s="120"/>
    </row>
    <row r="6" spans="1:10" s="31" customFormat="1" ht="13.9" customHeight="1" x14ac:dyDescent="0.25">
      <c r="A6" s="29">
        <v>4</v>
      </c>
      <c r="B6" s="30" t="s">
        <v>138</v>
      </c>
      <c r="C6" s="30" t="s">
        <v>30</v>
      </c>
      <c r="D6" s="30">
        <v>100</v>
      </c>
      <c r="E6" s="51">
        <v>34.56</v>
      </c>
      <c r="F6" s="52">
        <f t="shared" si="0"/>
        <v>27.648000000000003</v>
      </c>
      <c r="G6" s="52">
        <f t="shared" si="1"/>
        <v>31.104000000000003</v>
      </c>
      <c r="H6" s="52">
        <f t="shared" si="2"/>
        <v>34.56</v>
      </c>
      <c r="I6" s="53">
        <f t="shared" si="3"/>
        <v>22.464000000000002</v>
      </c>
      <c r="J6" s="120"/>
    </row>
    <row r="7" spans="1:10" s="31" customFormat="1" ht="13.9" customHeight="1" x14ac:dyDescent="0.25">
      <c r="A7" s="29">
        <v>5</v>
      </c>
      <c r="B7" s="30" t="s">
        <v>139</v>
      </c>
      <c r="C7" s="30" t="s">
        <v>30</v>
      </c>
      <c r="D7" s="30">
        <v>100</v>
      </c>
      <c r="E7" s="51">
        <v>34.56</v>
      </c>
      <c r="F7" s="52">
        <f t="shared" si="0"/>
        <v>27.648000000000003</v>
      </c>
      <c r="G7" s="52">
        <f t="shared" si="1"/>
        <v>31.104000000000003</v>
      </c>
      <c r="H7" s="52">
        <f t="shared" si="2"/>
        <v>34.56</v>
      </c>
      <c r="I7" s="53">
        <f t="shared" si="3"/>
        <v>22.464000000000002</v>
      </c>
      <c r="J7" s="120"/>
    </row>
    <row r="8" spans="1:10" s="31" customFormat="1" ht="13.9" customHeight="1" x14ac:dyDescent="0.25">
      <c r="A8" s="29">
        <v>6</v>
      </c>
      <c r="B8" s="30" t="s">
        <v>140</v>
      </c>
      <c r="C8" s="30" t="s">
        <v>30</v>
      </c>
      <c r="D8" s="30">
        <v>80</v>
      </c>
      <c r="E8" s="51">
        <v>42.12</v>
      </c>
      <c r="F8" s="52">
        <f t="shared" si="0"/>
        <v>33.695999999999998</v>
      </c>
      <c r="G8" s="52">
        <f t="shared" si="1"/>
        <v>37.908000000000001</v>
      </c>
      <c r="H8" s="52">
        <f t="shared" si="2"/>
        <v>42.12</v>
      </c>
      <c r="I8" s="53">
        <f t="shared" si="3"/>
        <v>27.378</v>
      </c>
      <c r="J8" s="120"/>
    </row>
    <row r="9" spans="1:10" s="31" customFormat="1" ht="13.9" customHeight="1" x14ac:dyDescent="0.25">
      <c r="A9" s="29">
        <v>7</v>
      </c>
      <c r="B9" s="30" t="s">
        <v>141</v>
      </c>
      <c r="C9" s="30" t="s">
        <v>30</v>
      </c>
      <c r="D9" s="30">
        <v>80</v>
      </c>
      <c r="E9" s="51">
        <v>56.16</v>
      </c>
      <c r="F9" s="52">
        <f t="shared" si="0"/>
        <v>44.927999999999997</v>
      </c>
      <c r="G9" s="52">
        <f t="shared" si="1"/>
        <v>50.543999999999997</v>
      </c>
      <c r="H9" s="52">
        <f t="shared" si="2"/>
        <v>56.16</v>
      </c>
      <c r="I9" s="53">
        <f t="shared" si="3"/>
        <v>36.503999999999998</v>
      </c>
      <c r="J9" s="120"/>
    </row>
    <row r="10" spans="1:10" s="31" customFormat="1" ht="13.9" customHeight="1" x14ac:dyDescent="0.25">
      <c r="A10" s="29">
        <v>8</v>
      </c>
      <c r="B10" s="30" t="s">
        <v>142</v>
      </c>
      <c r="C10" s="30" t="s">
        <v>30</v>
      </c>
      <c r="D10" s="30">
        <v>40</v>
      </c>
      <c r="E10" s="51">
        <v>68.040000000000006</v>
      </c>
      <c r="F10" s="52">
        <f t="shared" si="0"/>
        <v>54.432000000000009</v>
      </c>
      <c r="G10" s="52">
        <f t="shared" si="1"/>
        <v>61.236000000000004</v>
      </c>
      <c r="H10" s="52">
        <f t="shared" si="2"/>
        <v>68.040000000000006</v>
      </c>
      <c r="I10" s="53">
        <f t="shared" si="3"/>
        <v>44.226000000000006</v>
      </c>
      <c r="J10" s="120" t="s">
        <v>161</v>
      </c>
    </row>
    <row r="11" spans="1:10" s="31" customFormat="1" ht="13.9" customHeight="1" x14ac:dyDescent="0.25">
      <c r="A11" s="29">
        <v>9</v>
      </c>
      <c r="B11" s="30" t="s">
        <v>143</v>
      </c>
      <c r="C11" s="30" t="s">
        <v>30</v>
      </c>
      <c r="D11" s="30">
        <v>40</v>
      </c>
      <c r="E11" s="51">
        <v>68.040000000000006</v>
      </c>
      <c r="F11" s="52">
        <f t="shared" si="0"/>
        <v>54.432000000000009</v>
      </c>
      <c r="G11" s="52">
        <f t="shared" si="1"/>
        <v>61.236000000000004</v>
      </c>
      <c r="H11" s="52">
        <f t="shared" si="2"/>
        <v>68.040000000000006</v>
      </c>
      <c r="I11" s="53">
        <f t="shared" si="3"/>
        <v>44.226000000000006</v>
      </c>
      <c r="J11" s="120"/>
    </row>
    <row r="12" spans="1:10" s="31" customFormat="1" ht="13.9" customHeight="1" x14ac:dyDescent="0.25">
      <c r="A12" s="29">
        <v>10</v>
      </c>
      <c r="B12" s="30" t="s">
        <v>144</v>
      </c>
      <c r="C12" s="30" t="s">
        <v>30</v>
      </c>
      <c r="D12" s="30">
        <v>20</v>
      </c>
      <c r="E12" s="51">
        <v>101.52</v>
      </c>
      <c r="F12" s="52">
        <f t="shared" si="0"/>
        <v>81.216000000000008</v>
      </c>
      <c r="G12" s="52">
        <f t="shared" si="1"/>
        <v>91.367999999999995</v>
      </c>
      <c r="H12" s="52">
        <f t="shared" si="2"/>
        <v>101.52</v>
      </c>
      <c r="I12" s="53">
        <f t="shared" si="3"/>
        <v>65.988</v>
      </c>
      <c r="J12" s="120"/>
    </row>
    <row r="13" spans="1:10" s="31" customFormat="1" ht="13.9" customHeight="1" x14ac:dyDescent="0.25">
      <c r="A13" s="29">
        <v>11</v>
      </c>
      <c r="B13" s="30" t="s">
        <v>145</v>
      </c>
      <c r="C13" s="30" t="s">
        <v>30</v>
      </c>
      <c r="D13" s="30">
        <v>20</v>
      </c>
      <c r="E13" s="51">
        <v>101.52</v>
      </c>
      <c r="F13" s="52">
        <f t="shared" si="0"/>
        <v>81.216000000000008</v>
      </c>
      <c r="G13" s="52">
        <f t="shared" si="1"/>
        <v>91.367999999999995</v>
      </c>
      <c r="H13" s="52">
        <f t="shared" si="2"/>
        <v>101.52</v>
      </c>
      <c r="I13" s="53">
        <f t="shared" si="3"/>
        <v>65.988</v>
      </c>
      <c r="J13" s="120"/>
    </row>
    <row r="14" spans="1:10" s="31" customFormat="1" ht="13.9" customHeight="1" x14ac:dyDescent="0.25">
      <c r="A14" s="29">
        <v>12</v>
      </c>
      <c r="B14" s="30" t="s">
        <v>146</v>
      </c>
      <c r="C14" s="30" t="s">
        <v>30</v>
      </c>
      <c r="D14" s="30">
        <v>12</v>
      </c>
      <c r="E14" s="51">
        <v>135</v>
      </c>
      <c r="F14" s="52">
        <f t="shared" si="0"/>
        <v>108</v>
      </c>
      <c r="G14" s="52">
        <f t="shared" si="1"/>
        <v>121.5</v>
      </c>
      <c r="H14" s="52">
        <f t="shared" si="2"/>
        <v>135</v>
      </c>
      <c r="I14" s="53">
        <f t="shared" si="3"/>
        <v>87.75</v>
      </c>
      <c r="J14" s="120"/>
    </row>
    <row r="15" spans="1:10" s="31" customFormat="1" ht="13.9" customHeight="1" x14ac:dyDescent="0.25">
      <c r="A15" s="29">
        <v>13</v>
      </c>
      <c r="B15" s="30" t="s">
        <v>147</v>
      </c>
      <c r="C15" s="30" t="s">
        <v>30</v>
      </c>
      <c r="D15" s="30">
        <v>12</v>
      </c>
      <c r="E15" s="51">
        <v>135</v>
      </c>
      <c r="F15" s="52">
        <f t="shared" si="0"/>
        <v>108</v>
      </c>
      <c r="G15" s="52">
        <f t="shared" si="1"/>
        <v>121.5</v>
      </c>
      <c r="H15" s="52">
        <f t="shared" si="2"/>
        <v>135</v>
      </c>
      <c r="I15" s="53">
        <f t="shared" si="3"/>
        <v>87.75</v>
      </c>
      <c r="J15" s="120"/>
    </row>
    <row r="16" spans="1:10" s="31" customFormat="1" ht="13.9" customHeight="1" x14ac:dyDescent="0.25">
      <c r="A16" s="29">
        <v>14</v>
      </c>
      <c r="B16" s="30" t="s">
        <v>148</v>
      </c>
      <c r="C16" s="30" t="s">
        <v>30</v>
      </c>
      <c r="D16" s="30">
        <v>8</v>
      </c>
      <c r="E16" s="51">
        <v>162</v>
      </c>
      <c r="F16" s="52">
        <f t="shared" si="0"/>
        <v>129.6</v>
      </c>
      <c r="G16" s="52">
        <f t="shared" si="1"/>
        <v>145.80000000000001</v>
      </c>
      <c r="H16" s="52">
        <f t="shared" si="2"/>
        <v>162</v>
      </c>
      <c r="I16" s="53">
        <f t="shared" si="3"/>
        <v>105.3</v>
      </c>
      <c r="J16" s="120"/>
    </row>
    <row r="17" spans="1:10" s="31" customFormat="1" ht="13.9" customHeight="1" x14ac:dyDescent="0.25">
      <c r="A17" s="29">
        <v>15</v>
      </c>
      <c r="B17" s="30" t="s">
        <v>149</v>
      </c>
      <c r="C17" s="30" t="s">
        <v>30</v>
      </c>
      <c r="D17" s="30">
        <v>8</v>
      </c>
      <c r="E17" s="51">
        <v>162</v>
      </c>
      <c r="F17" s="52">
        <f t="shared" si="0"/>
        <v>129.6</v>
      </c>
      <c r="G17" s="52">
        <f t="shared" si="1"/>
        <v>145.80000000000001</v>
      </c>
      <c r="H17" s="52">
        <f t="shared" si="2"/>
        <v>162</v>
      </c>
      <c r="I17" s="53">
        <f t="shared" si="3"/>
        <v>105.3</v>
      </c>
      <c r="J17" s="120"/>
    </row>
    <row r="18" spans="1:10" s="31" customFormat="1" ht="13.9" customHeight="1" x14ac:dyDescent="0.25">
      <c r="A18" s="29">
        <v>16</v>
      </c>
      <c r="B18" s="30" t="s">
        <v>150</v>
      </c>
      <c r="C18" s="30" t="s">
        <v>30</v>
      </c>
      <c r="D18" s="30">
        <v>12</v>
      </c>
      <c r="E18" s="51">
        <v>109.08</v>
      </c>
      <c r="F18" s="52">
        <f t="shared" si="0"/>
        <v>87.26400000000001</v>
      </c>
      <c r="G18" s="52">
        <f t="shared" si="1"/>
        <v>98.171999999999997</v>
      </c>
      <c r="H18" s="52">
        <f t="shared" si="2"/>
        <v>109.08</v>
      </c>
      <c r="I18" s="53">
        <f t="shared" si="3"/>
        <v>70.902000000000001</v>
      </c>
      <c r="J18" s="120" t="s">
        <v>161</v>
      </c>
    </row>
    <row r="19" spans="1:10" s="31" customFormat="1" ht="13.9" customHeight="1" x14ac:dyDescent="0.25">
      <c r="A19" s="29">
        <v>17</v>
      </c>
      <c r="B19" s="30" t="s">
        <v>151</v>
      </c>
      <c r="C19" s="30" t="s">
        <v>30</v>
      </c>
      <c r="D19" s="30">
        <v>12</v>
      </c>
      <c r="E19" s="51">
        <v>109.08</v>
      </c>
      <c r="F19" s="52">
        <f t="shared" si="0"/>
        <v>87.26400000000001</v>
      </c>
      <c r="G19" s="52">
        <f t="shared" si="1"/>
        <v>98.171999999999997</v>
      </c>
      <c r="H19" s="52">
        <f t="shared" si="2"/>
        <v>109.08</v>
      </c>
      <c r="I19" s="53">
        <f t="shared" si="3"/>
        <v>70.902000000000001</v>
      </c>
      <c r="J19" s="120"/>
    </row>
    <row r="20" spans="1:10" s="31" customFormat="1" ht="13.9" customHeight="1" x14ac:dyDescent="0.25">
      <c r="A20" s="29">
        <v>18</v>
      </c>
      <c r="B20" s="30" t="s">
        <v>152</v>
      </c>
      <c r="C20" s="30" t="s">
        <v>30</v>
      </c>
      <c r="D20" s="30">
        <v>12</v>
      </c>
      <c r="E20" s="51">
        <v>164.16</v>
      </c>
      <c r="F20" s="52">
        <f t="shared" si="0"/>
        <v>131.328</v>
      </c>
      <c r="G20" s="52">
        <f t="shared" si="1"/>
        <v>147.744</v>
      </c>
      <c r="H20" s="52">
        <f t="shared" si="2"/>
        <v>164.16</v>
      </c>
      <c r="I20" s="53">
        <f t="shared" si="3"/>
        <v>106.70400000000001</v>
      </c>
      <c r="J20" s="120"/>
    </row>
    <row r="21" spans="1:10" s="31" customFormat="1" ht="13.9" customHeight="1" x14ac:dyDescent="0.25">
      <c r="A21" s="29">
        <v>19</v>
      </c>
      <c r="B21" s="30" t="s">
        <v>153</v>
      </c>
      <c r="C21" s="30" t="s">
        <v>30</v>
      </c>
      <c r="D21" s="30">
        <v>12</v>
      </c>
      <c r="E21" s="51">
        <v>164.16</v>
      </c>
      <c r="F21" s="52">
        <f t="shared" si="0"/>
        <v>131.328</v>
      </c>
      <c r="G21" s="52">
        <f t="shared" si="1"/>
        <v>147.744</v>
      </c>
      <c r="H21" s="52">
        <f t="shared" si="2"/>
        <v>164.16</v>
      </c>
      <c r="I21" s="53">
        <f t="shared" si="3"/>
        <v>106.70400000000001</v>
      </c>
      <c r="J21" s="120"/>
    </row>
    <row r="22" spans="1:10" s="31" customFormat="1" ht="13.9" customHeight="1" x14ac:dyDescent="0.25">
      <c r="A22" s="29">
        <v>20</v>
      </c>
      <c r="B22" s="30" t="s">
        <v>154</v>
      </c>
      <c r="C22" s="30" t="s">
        <v>30</v>
      </c>
      <c r="D22" s="30">
        <v>8</v>
      </c>
      <c r="E22" s="51">
        <v>194.4</v>
      </c>
      <c r="F22" s="52">
        <f t="shared" si="0"/>
        <v>155.52000000000001</v>
      </c>
      <c r="G22" s="52">
        <f t="shared" si="1"/>
        <v>174.96</v>
      </c>
      <c r="H22" s="52">
        <f t="shared" si="2"/>
        <v>194.4</v>
      </c>
      <c r="I22" s="53">
        <f t="shared" si="3"/>
        <v>126.36000000000001</v>
      </c>
      <c r="J22" s="120"/>
    </row>
    <row r="23" spans="1:10" s="31" customFormat="1" ht="13.9" customHeight="1" x14ac:dyDescent="0.25">
      <c r="A23" s="29">
        <v>21</v>
      </c>
      <c r="B23" s="30" t="s">
        <v>155</v>
      </c>
      <c r="C23" s="30" t="s">
        <v>30</v>
      </c>
      <c r="D23" s="30">
        <v>8</v>
      </c>
      <c r="E23" s="51">
        <v>194.4</v>
      </c>
      <c r="F23" s="52">
        <f t="shared" si="0"/>
        <v>155.52000000000001</v>
      </c>
      <c r="G23" s="52">
        <f t="shared" si="1"/>
        <v>174.96</v>
      </c>
      <c r="H23" s="52">
        <f t="shared" si="2"/>
        <v>194.4</v>
      </c>
      <c r="I23" s="53">
        <f t="shared" si="3"/>
        <v>126.36000000000001</v>
      </c>
      <c r="J23" s="120"/>
    </row>
    <row r="24" spans="1:10" s="31" customFormat="1" ht="13.9" customHeight="1" x14ac:dyDescent="0.25">
      <c r="A24" s="29">
        <v>22</v>
      </c>
      <c r="B24" s="30" t="s">
        <v>156</v>
      </c>
      <c r="C24" s="30" t="s">
        <v>30</v>
      </c>
      <c r="D24" s="30">
        <v>8</v>
      </c>
      <c r="E24" s="51">
        <v>291.60000000000002</v>
      </c>
      <c r="F24" s="52">
        <f t="shared" si="0"/>
        <v>233.28000000000003</v>
      </c>
      <c r="G24" s="52">
        <f t="shared" si="1"/>
        <v>262.44000000000005</v>
      </c>
      <c r="H24" s="52">
        <f t="shared" si="2"/>
        <v>291.60000000000002</v>
      </c>
      <c r="I24" s="53">
        <f t="shared" si="3"/>
        <v>189.54000000000002</v>
      </c>
      <c r="J24" s="120"/>
    </row>
    <row r="25" spans="1:10" s="31" customFormat="1" ht="13.9" customHeight="1" x14ac:dyDescent="0.25">
      <c r="A25" s="29">
        <v>23</v>
      </c>
      <c r="B25" s="30" t="s">
        <v>157</v>
      </c>
      <c r="C25" s="30" t="s">
        <v>30</v>
      </c>
      <c r="D25" s="30">
        <v>8</v>
      </c>
      <c r="E25" s="51">
        <v>395.28</v>
      </c>
      <c r="F25" s="52">
        <f t="shared" si="0"/>
        <v>316.22399999999999</v>
      </c>
      <c r="G25" s="52">
        <f t="shared" si="1"/>
        <v>355.75200000000001</v>
      </c>
      <c r="H25" s="52">
        <f t="shared" si="2"/>
        <v>395.28</v>
      </c>
      <c r="I25" s="53">
        <f t="shared" si="3"/>
        <v>256.93200000000002</v>
      </c>
      <c r="J25" s="120"/>
    </row>
    <row r="27" spans="1:10" ht="23.65" customHeight="1" x14ac:dyDescent="0.25">
      <c r="A27" s="81" t="s">
        <v>315</v>
      </c>
      <c r="B27" s="81"/>
      <c r="C27" s="76" t="s">
        <v>115</v>
      </c>
      <c r="D27" s="76" t="s">
        <v>158</v>
      </c>
      <c r="E27" s="76" t="s">
        <v>353</v>
      </c>
      <c r="F27" s="3" t="s">
        <v>10</v>
      </c>
      <c r="G27" s="3" t="s">
        <v>11</v>
      </c>
      <c r="H27" s="3" t="s">
        <v>12</v>
      </c>
      <c r="I27" s="4" t="s">
        <v>13</v>
      </c>
      <c r="J27" s="116" t="s">
        <v>159</v>
      </c>
    </row>
    <row r="28" spans="1:10" ht="15.75" customHeight="1" x14ac:dyDescent="0.25">
      <c r="A28" s="81"/>
      <c r="B28" s="81"/>
      <c r="C28" s="77"/>
      <c r="D28" s="77"/>
      <c r="E28" s="77"/>
      <c r="F28" s="5">
        <v>0.2</v>
      </c>
      <c r="G28" s="5">
        <v>0.1</v>
      </c>
      <c r="H28" s="5">
        <v>0</v>
      </c>
      <c r="I28" s="6">
        <v>0.35</v>
      </c>
      <c r="J28" s="116"/>
    </row>
    <row r="29" spans="1:10" s="31" customFormat="1" ht="13.9" customHeight="1" x14ac:dyDescent="0.25">
      <c r="A29" s="29">
        <v>1</v>
      </c>
      <c r="B29" s="30" t="s">
        <v>317</v>
      </c>
      <c r="C29" s="30" t="s">
        <v>30</v>
      </c>
      <c r="D29" s="8">
        <v>60</v>
      </c>
      <c r="E29" s="52">
        <v>108</v>
      </c>
      <c r="F29" s="52">
        <f>(E29*0.8)</f>
        <v>86.4</v>
      </c>
      <c r="G29" s="52">
        <f>(E29*0.9)</f>
        <v>97.2</v>
      </c>
      <c r="H29" s="52">
        <f>(E29*1)</f>
        <v>108</v>
      </c>
      <c r="I29" s="53">
        <f>(E29*0.65)</f>
        <v>70.2</v>
      </c>
      <c r="J29" s="117" t="s">
        <v>332</v>
      </c>
    </row>
    <row r="30" spans="1:10" s="31" customFormat="1" ht="13.9" customHeight="1" x14ac:dyDescent="0.25">
      <c r="A30" s="29">
        <v>2</v>
      </c>
      <c r="B30" s="30" t="s">
        <v>318</v>
      </c>
      <c r="C30" s="30" t="s">
        <v>30</v>
      </c>
      <c r="D30" s="8">
        <v>40</v>
      </c>
      <c r="E30" s="52">
        <v>113.4</v>
      </c>
      <c r="F30" s="52">
        <f t="shared" ref="F30:F43" si="4">(E30*0.8)</f>
        <v>90.720000000000013</v>
      </c>
      <c r="G30" s="52">
        <f t="shared" ref="G30:G43" si="5">(E30*0.9)</f>
        <v>102.06</v>
      </c>
      <c r="H30" s="52">
        <f t="shared" ref="H30:H43" si="6">(E30*1)</f>
        <v>113.4</v>
      </c>
      <c r="I30" s="53">
        <f t="shared" ref="I30:I43" si="7">(E30*0.65)</f>
        <v>73.710000000000008</v>
      </c>
      <c r="J30" s="118"/>
    </row>
    <row r="31" spans="1:10" s="31" customFormat="1" ht="13.9" customHeight="1" x14ac:dyDescent="0.25">
      <c r="A31" s="29">
        <v>3</v>
      </c>
      <c r="B31" s="30" t="s">
        <v>319</v>
      </c>
      <c r="C31" s="30" t="s">
        <v>30</v>
      </c>
      <c r="D31" s="8">
        <v>40</v>
      </c>
      <c r="E31" s="52">
        <v>129.6</v>
      </c>
      <c r="F31" s="52">
        <f t="shared" si="4"/>
        <v>103.68</v>
      </c>
      <c r="G31" s="52">
        <f t="shared" si="5"/>
        <v>116.64</v>
      </c>
      <c r="H31" s="52">
        <f t="shared" si="6"/>
        <v>129.6</v>
      </c>
      <c r="I31" s="53">
        <f t="shared" si="7"/>
        <v>84.24</v>
      </c>
      <c r="J31" s="118"/>
    </row>
    <row r="32" spans="1:10" s="31" customFormat="1" ht="13.9" customHeight="1" x14ac:dyDescent="0.25">
      <c r="A32" s="29">
        <v>4</v>
      </c>
      <c r="B32" s="30" t="s">
        <v>320</v>
      </c>
      <c r="C32" s="30" t="s">
        <v>30</v>
      </c>
      <c r="D32" s="8">
        <v>60</v>
      </c>
      <c r="E32" s="52">
        <v>113.4</v>
      </c>
      <c r="F32" s="52">
        <f t="shared" si="4"/>
        <v>90.720000000000013</v>
      </c>
      <c r="G32" s="52">
        <f t="shared" si="5"/>
        <v>102.06</v>
      </c>
      <c r="H32" s="52">
        <f t="shared" si="6"/>
        <v>113.4</v>
      </c>
      <c r="I32" s="53">
        <f t="shared" si="7"/>
        <v>73.710000000000008</v>
      </c>
      <c r="J32" s="118"/>
    </row>
    <row r="33" spans="1:10" s="31" customFormat="1" ht="13.9" customHeight="1" x14ac:dyDescent="0.25">
      <c r="A33" s="29">
        <v>5</v>
      </c>
      <c r="B33" s="30" t="s">
        <v>321</v>
      </c>
      <c r="C33" s="30" t="s">
        <v>30</v>
      </c>
      <c r="D33" s="8">
        <v>40</v>
      </c>
      <c r="E33" s="52">
        <v>129.6</v>
      </c>
      <c r="F33" s="52">
        <f t="shared" si="4"/>
        <v>103.68</v>
      </c>
      <c r="G33" s="52">
        <f t="shared" si="5"/>
        <v>116.64</v>
      </c>
      <c r="H33" s="52">
        <f t="shared" si="6"/>
        <v>129.6</v>
      </c>
      <c r="I33" s="53">
        <f t="shared" si="7"/>
        <v>84.24</v>
      </c>
      <c r="J33" s="118"/>
    </row>
    <row r="34" spans="1:10" s="31" customFormat="1" ht="13.9" customHeight="1" x14ac:dyDescent="0.25">
      <c r="A34" s="29">
        <v>6</v>
      </c>
      <c r="B34" s="30" t="s">
        <v>322</v>
      </c>
      <c r="C34" s="30" t="s">
        <v>30</v>
      </c>
      <c r="D34" s="8">
        <v>40</v>
      </c>
      <c r="E34" s="52">
        <v>135</v>
      </c>
      <c r="F34" s="52">
        <f t="shared" si="4"/>
        <v>108</v>
      </c>
      <c r="G34" s="52">
        <f t="shared" si="5"/>
        <v>121.5</v>
      </c>
      <c r="H34" s="52">
        <f t="shared" si="6"/>
        <v>135</v>
      </c>
      <c r="I34" s="53">
        <f t="shared" si="7"/>
        <v>87.75</v>
      </c>
      <c r="J34" s="118"/>
    </row>
    <row r="35" spans="1:10" s="31" customFormat="1" ht="13.9" customHeight="1" x14ac:dyDescent="0.25">
      <c r="A35" s="29">
        <v>7</v>
      </c>
      <c r="B35" s="30" t="s">
        <v>323</v>
      </c>
      <c r="C35" s="30" t="s">
        <v>30</v>
      </c>
      <c r="D35" s="8">
        <v>60</v>
      </c>
      <c r="E35" s="52">
        <v>113.4</v>
      </c>
      <c r="F35" s="52">
        <f t="shared" si="4"/>
        <v>90.720000000000013</v>
      </c>
      <c r="G35" s="52">
        <f t="shared" si="5"/>
        <v>102.06</v>
      </c>
      <c r="H35" s="52">
        <f t="shared" si="6"/>
        <v>113.4</v>
      </c>
      <c r="I35" s="53">
        <f t="shared" si="7"/>
        <v>73.710000000000008</v>
      </c>
      <c r="J35" s="118"/>
    </row>
    <row r="36" spans="1:10" s="31" customFormat="1" ht="13.9" customHeight="1" x14ac:dyDescent="0.25">
      <c r="A36" s="29">
        <v>8</v>
      </c>
      <c r="B36" s="30" t="s">
        <v>324</v>
      </c>
      <c r="C36" s="30" t="s">
        <v>30</v>
      </c>
      <c r="D36" s="8">
        <v>40</v>
      </c>
      <c r="E36" s="52">
        <v>129.6</v>
      </c>
      <c r="F36" s="52">
        <f t="shared" si="4"/>
        <v>103.68</v>
      </c>
      <c r="G36" s="52">
        <f t="shared" si="5"/>
        <v>116.64</v>
      </c>
      <c r="H36" s="52">
        <f t="shared" si="6"/>
        <v>129.6</v>
      </c>
      <c r="I36" s="53">
        <f t="shared" si="7"/>
        <v>84.24</v>
      </c>
      <c r="J36" s="118"/>
    </row>
    <row r="37" spans="1:10" s="31" customFormat="1" ht="13.9" customHeight="1" x14ac:dyDescent="0.25">
      <c r="A37" s="29">
        <v>9</v>
      </c>
      <c r="B37" s="30" t="s">
        <v>325</v>
      </c>
      <c r="C37" s="30" t="s">
        <v>30</v>
      </c>
      <c r="D37" s="8">
        <v>40</v>
      </c>
      <c r="E37" s="52">
        <v>135</v>
      </c>
      <c r="F37" s="52">
        <f t="shared" si="4"/>
        <v>108</v>
      </c>
      <c r="G37" s="52">
        <f t="shared" si="5"/>
        <v>121.5</v>
      </c>
      <c r="H37" s="52">
        <f t="shared" si="6"/>
        <v>135</v>
      </c>
      <c r="I37" s="53">
        <f t="shared" si="7"/>
        <v>87.75</v>
      </c>
      <c r="J37" s="118"/>
    </row>
    <row r="38" spans="1:10" s="31" customFormat="1" ht="13.9" customHeight="1" x14ac:dyDescent="0.25">
      <c r="A38" s="29">
        <v>10</v>
      </c>
      <c r="B38" s="30" t="s">
        <v>326</v>
      </c>
      <c r="C38" s="30" t="s">
        <v>30</v>
      </c>
      <c r="D38" s="8">
        <v>60</v>
      </c>
      <c r="E38" s="52">
        <v>81</v>
      </c>
      <c r="F38" s="52">
        <f t="shared" si="4"/>
        <v>64.8</v>
      </c>
      <c r="G38" s="52">
        <f t="shared" si="5"/>
        <v>72.900000000000006</v>
      </c>
      <c r="H38" s="52">
        <f t="shared" si="6"/>
        <v>81</v>
      </c>
      <c r="I38" s="53">
        <f t="shared" si="7"/>
        <v>52.65</v>
      </c>
      <c r="J38" s="118"/>
    </row>
    <row r="39" spans="1:10" s="31" customFormat="1" ht="13.9" customHeight="1" x14ac:dyDescent="0.25">
      <c r="A39" s="29">
        <v>11</v>
      </c>
      <c r="B39" s="30" t="s">
        <v>327</v>
      </c>
      <c r="C39" s="30" t="s">
        <v>30</v>
      </c>
      <c r="D39" s="8">
        <v>60</v>
      </c>
      <c r="E39" s="52">
        <v>81</v>
      </c>
      <c r="F39" s="52">
        <f t="shared" si="4"/>
        <v>64.8</v>
      </c>
      <c r="G39" s="52">
        <f t="shared" si="5"/>
        <v>72.900000000000006</v>
      </c>
      <c r="H39" s="52">
        <f t="shared" si="6"/>
        <v>81</v>
      </c>
      <c r="I39" s="53">
        <f t="shared" si="7"/>
        <v>52.65</v>
      </c>
      <c r="J39" s="118"/>
    </row>
    <row r="40" spans="1:10" s="31" customFormat="1" ht="13.9" customHeight="1" x14ac:dyDescent="0.25">
      <c r="A40" s="29">
        <v>12</v>
      </c>
      <c r="B40" s="30" t="s">
        <v>328</v>
      </c>
      <c r="C40" s="30" t="s">
        <v>30</v>
      </c>
      <c r="D40" s="8">
        <v>40</v>
      </c>
      <c r="E40" s="52">
        <v>91.8</v>
      </c>
      <c r="F40" s="52">
        <f t="shared" si="4"/>
        <v>73.44</v>
      </c>
      <c r="G40" s="52">
        <f t="shared" si="5"/>
        <v>82.62</v>
      </c>
      <c r="H40" s="52">
        <f t="shared" si="6"/>
        <v>91.8</v>
      </c>
      <c r="I40" s="53">
        <f t="shared" si="7"/>
        <v>59.67</v>
      </c>
      <c r="J40" s="118"/>
    </row>
    <row r="41" spans="1:10" s="31" customFormat="1" ht="13.9" customHeight="1" x14ac:dyDescent="0.25">
      <c r="A41" s="29">
        <v>13</v>
      </c>
      <c r="B41" s="30" t="s">
        <v>329</v>
      </c>
      <c r="C41" s="30" t="s">
        <v>30</v>
      </c>
      <c r="D41" s="8">
        <v>40</v>
      </c>
      <c r="E41" s="52">
        <v>91.8</v>
      </c>
      <c r="F41" s="52">
        <f t="shared" si="4"/>
        <v>73.44</v>
      </c>
      <c r="G41" s="52">
        <f t="shared" si="5"/>
        <v>82.62</v>
      </c>
      <c r="H41" s="52">
        <f t="shared" si="6"/>
        <v>91.8</v>
      </c>
      <c r="I41" s="53">
        <f t="shared" si="7"/>
        <v>59.67</v>
      </c>
      <c r="J41" s="118"/>
    </row>
    <row r="42" spans="1:10" s="31" customFormat="1" ht="13.9" customHeight="1" x14ac:dyDescent="0.25">
      <c r="A42" s="29">
        <v>14</v>
      </c>
      <c r="B42" s="30" t="s">
        <v>330</v>
      </c>
      <c r="C42" s="30" t="s">
        <v>30</v>
      </c>
      <c r="D42" s="8">
        <v>40</v>
      </c>
      <c r="E42" s="52">
        <v>124.2</v>
      </c>
      <c r="F42" s="52">
        <f t="shared" si="4"/>
        <v>99.360000000000014</v>
      </c>
      <c r="G42" s="52">
        <f t="shared" si="5"/>
        <v>111.78</v>
      </c>
      <c r="H42" s="52">
        <f t="shared" si="6"/>
        <v>124.2</v>
      </c>
      <c r="I42" s="53">
        <f t="shared" si="7"/>
        <v>80.73</v>
      </c>
      <c r="J42" s="118"/>
    </row>
    <row r="43" spans="1:10" s="31" customFormat="1" ht="13.9" customHeight="1" x14ac:dyDescent="0.25">
      <c r="A43" s="29">
        <v>15</v>
      </c>
      <c r="B43" s="30" t="s">
        <v>331</v>
      </c>
      <c r="C43" s="30" t="s">
        <v>30</v>
      </c>
      <c r="D43" s="8">
        <v>40</v>
      </c>
      <c r="E43" s="52">
        <v>124.2</v>
      </c>
      <c r="F43" s="52">
        <f t="shared" si="4"/>
        <v>99.360000000000014</v>
      </c>
      <c r="G43" s="52">
        <f t="shared" si="5"/>
        <v>111.78</v>
      </c>
      <c r="H43" s="52">
        <f t="shared" si="6"/>
        <v>124.2</v>
      </c>
      <c r="I43" s="53">
        <f t="shared" si="7"/>
        <v>80.73</v>
      </c>
      <c r="J43" s="119"/>
    </row>
    <row r="45" spans="1:10" ht="24.6" customHeight="1" x14ac:dyDescent="0.25">
      <c r="A45" s="81" t="s">
        <v>356</v>
      </c>
      <c r="B45" s="81"/>
      <c r="C45" s="76" t="s">
        <v>115</v>
      </c>
      <c r="D45" s="76" t="s">
        <v>158</v>
      </c>
      <c r="E45" s="76" t="s">
        <v>353</v>
      </c>
      <c r="F45" s="3" t="s">
        <v>10</v>
      </c>
      <c r="G45" s="3" t="s">
        <v>11</v>
      </c>
      <c r="H45" s="3" t="s">
        <v>12</v>
      </c>
      <c r="I45" s="4" t="s">
        <v>13</v>
      </c>
      <c r="J45" s="115" t="s">
        <v>354</v>
      </c>
    </row>
    <row r="46" spans="1:10" ht="27" customHeight="1" x14ac:dyDescent="0.25">
      <c r="A46" s="81"/>
      <c r="B46" s="81"/>
      <c r="C46" s="77"/>
      <c r="D46" s="77"/>
      <c r="E46" s="77"/>
      <c r="F46" s="5">
        <v>0.2</v>
      </c>
      <c r="G46" s="5">
        <v>0.1</v>
      </c>
      <c r="H46" s="5">
        <v>0</v>
      </c>
      <c r="I46" s="6">
        <v>0.35</v>
      </c>
      <c r="J46" s="115"/>
    </row>
    <row r="47" spans="1:10" x14ac:dyDescent="0.25">
      <c r="A47" s="29">
        <v>1</v>
      </c>
      <c r="B47" s="30" t="s">
        <v>357</v>
      </c>
      <c r="C47" s="30" t="s">
        <v>30</v>
      </c>
      <c r="D47" s="8">
        <v>6</v>
      </c>
      <c r="E47" s="8">
        <v>365040</v>
      </c>
      <c r="F47" s="8">
        <f>(E47*0.8)</f>
        <v>292032</v>
      </c>
      <c r="G47" s="8">
        <f>(E47*0.9)</f>
        <v>328536</v>
      </c>
      <c r="H47" s="8">
        <f>(E47*1)</f>
        <v>365040</v>
      </c>
      <c r="I47" s="9">
        <f>(E47*0.65)</f>
        <v>237276</v>
      </c>
      <c r="J47" s="19" t="s">
        <v>355</v>
      </c>
    </row>
  </sheetData>
  <mergeCells count="19">
    <mergeCell ref="J3:J9"/>
    <mergeCell ref="J10:J17"/>
    <mergeCell ref="J18:J25"/>
    <mergeCell ref="J1:J2"/>
    <mergeCell ref="A1:B2"/>
    <mergeCell ref="C1:C2"/>
    <mergeCell ref="E1:E2"/>
    <mergeCell ref="D1:D2"/>
    <mergeCell ref="J27:J28"/>
    <mergeCell ref="J29:J43"/>
    <mergeCell ref="A27:B28"/>
    <mergeCell ref="C27:C28"/>
    <mergeCell ref="D27:D28"/>
    <mergeCell ref="E27:E28"/>
    <mergeCell ref="A45:B46"/>
    <mergeCell ref="C45:C46"/>
    <mergeCell ref="D45:D46"/>
    <mergeCell ref="E45:E46"/>
    <mergeCell ref="J45:J46"/>
  </mergeCells>
  <pageMargins left="0.7" right="0.7" top="0.75" bottom="0.75" header="0.3" footer="0.3"/>
  <pageSetup scale="54"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8"/>
  <sheetViews>
    <sheetView view="pageBreakPreview" topLeftCell="A6" zoomScaleNormal="100" zoomScaleSheetLayoutView="100" workbookViewId="0">
      <selection activeCell="K14" sqref="K14"/>
    </sheetView>
  </sheetViews>
  <sheetFormatPr defaultRowHeight="15" x14ac:dyDescent="0.25"/>
  <cols>
    <col min="2" max="2" width="21.5703125" customWidth="1"/>
    <col min="3" max="3" width="26.5703125" customWidth="1"/>
    <col min="4" max="4" width="6.5703125" customWidth="1"/>
    <col min="5" max="5" width="7.42578125" customWidth="1"/>
    <col min="6" max="6" width="9.7109375" customWidth="1"/>
    <col min="7" max="7" width="9.5703125" customWidth="1"/>
    <col min="8" max="12" width="13.85546875" customWidth="1"/>
  </cols>
  <sheetData>
    <row r="1" spans="1:12" ht="23.65" customHeight="1" x14ac:dyDescent="0.25">
      <c r="A1" s="81" t="s">
        <v>69</v>
      </c>
      <c r="B1" s="81"/>
      <c r="C1" s="81"/>
      <c r="D1" s="2"/>
      <c r="E1" s="121" t="s">
        <v>94</v>
      </c>
      <c r="F1" s="121"/>
      <c r="G1" s="121"/>
      <c r="H1" s="76" t="s">
        <v>14</v>
      </c>
      <c r="I1" s="3" t="s">
        <v>10</v>
      </c>
      <c r="J1" s="3" t="s">
        <v>11</v>
      </c>
      <c r="K1" s="3" t="s">
        <v>12</v>
      </c>
      <c r="L1" s="4" t="s">
        <v>13</v>
      </c>
    </row>
    <row r="2" spans="1:12" ht="32.65" customHeight="1" x14ac:dyDescent="0.25">
      <c r="A2" s="81"/>
      <c r="B2" s="81"/>
      <c r="C2" s="81"/>
      <c r="D2" s="2"/>
      <c r="E2" s="3" t="s">
        <v>95</v>
      </c>
      <c r="F2" s="18" t="s">
        <v>96</v>
      </c>
      <c r="G2" s="18" t="s">
        <v>97</v>
      </c>
      <c r="H2" s="82"/>
      <c r="I2" s="5">
        <v>0.25</v>
      </c>
      <c r="J2" s="5">
        <v>0.15</v>
      </c>
      <c r="K2" s="5">
        <v>0.03</v>
      </c>
      <c r="L2" s="6">
        <v>0.35</v>
      </c>
    </row>
    <row r="3" spans="1:12" s="1" customFormat="1" ht="20.85" customHeight="1" x14ac:dyDescent="0.25">
      <c r="A3" s="7">
        <v>1</v>
      </c>
      <c r="B3" s="114" t="s">
        <v>59</v>
      </c>
      <c r="C3" s="23" t="s">
        <v>60</v>
      </c>
      <c r="D3" s="23" t="s">
        <v>68</v>
      </c>
      <c r="E3" s="23" t="s">
        <v>340</v>
      </c>
      <c r="F3" s="23">
        <v>102</v>
      </c>
      <c r="G3" s="23">
        <v>140</v>
      </c>
      <c r="H3" s="24">
        <v>280000</v>
      </c>
      <c r="I3" s="8">
        <f>(H3*(1-0.25))*1.08</f>
        <v>226800.00000000003</v>
      </c>
      <c r="J3" s="8">
        <f>(H3*(1-0.15))*1.08</f>
        <v>257040.00000000003</v>
      </c>
      <c r="K3" s="8">
        <f>(H3*(1-0.03))*1.08</f>
        <v>293328</v>
      </c>
      <c r="L3" s="9">
        <f>(H3*0.65)*1.08</f>
        <v>196560</v>
      </c>
    </row>
    <row r="4" spans="1:12" s="1" customFormat="1" ht="20.85" customHeight="1" x14ac:dyDescent="0.25">
      <c r="A4" s="7">
        <v>2</v>
      </c>
      <c r="B4" s="114"/>
      <c r="C4" s="23" t="s">
        <v>61</v>
      </c>
      <c r="D4" s="23" t="s">
        <v>68</v>
      </c>
      <c r="E4" s="23" t="s">
        <v>341</v>
      </c>
      <c r="F4" s="23">
        <v>77</v>
      </c>
      <c r="G4" s="23">
        <v>105</v>
      </c>
      <c r="H4" s="24">
        <v>371000</v>
      </c>
      <c r="I4" s="8">
        <f>(H4*(1-0.25))*1.08</f>
        <v>300510</v>
      </c>
      <c r="J4" s="8">
        <f t="shared" ref="J4:J10" si="0">(H4*(1-0.15))*1.08</f>
        <v>340578</v>
      </c>
      <c r="K4" s="8">
        <f t="shared" ref="K4:K10" si="1">(H4*(1-0.03))*1.08</f>
        <v>388659.60000000003</v>
      </c>
      <c r="L4" s="9">
        <f t="shared" ref="L4:L10" si="2">(H4*0.65)*1.08</f>
        <v>260442.00000000003</v>
      </c>
    </row>
    <row r="5" spans="1:12" s="1" customFormat="1" ht="20.85" customHeight="1" x14ac:dyDescent="0.25">
      <c r="A5" s="7">
        <v>3</v>
      </c>
      <c r="B5" s="114"/>
      <c r="C5" s="23" t="s">
        <v>62</v>
      </c>
      <c r="D5" s="23" t="s">
        <v>68</v>
      </c>
      <c r="E5" s="23" t="s">
        <v>342</v>
      </c>
      <c r="F5" s="23">
        <v>61</v>
      </c>
      <c r="G5" s="23">
        <v>84</v>
      </c>
      <c r="H5" s="24">
        <v>451000</v>
      </c>
      <c r="I5" s="8">
        <f t="shared" ref="I5:I10" si="3">(H5*(1-0.25))*1.08</f>
        <v>365310</v>
      </c>
      <c r="J5" s="8">
        <f t="shared" si="0"/>
        <v>414018</v>
      </c>
      <c r="K5" s="8">
        <f t="shared" si="1"/>
        <v>472467.60000000003</v>
      </c>
      <c r="L5" s="9">
        <f t="shared" si="2"/>
        <v>316602</v>
      </c>
    </row>
    <row r="6" spans="1:12" s="1" customFormat="1" ht="20.85" customHeight="1" x14ac:dyDescent="0.25">
      <c r="A6" s="7">
        <v>4</v>
      </c>
      <c r="B6" s="114"/>
      <c r="C6" s="23" t="s">
        <v>63</v>
      </c>
      <c r="D6" s="23" t="s">
        <v>68</v>
      </c>
      <c r="E6" s="23" t="s">
        <v>343</v>
      </c>
      <c r="F6" s="23">
        <v>51</v>
      </c>
      <c r="G6" s="23">
        <v>70</v>
      </c>
      <c r="H6" s="24">
        <v>541000</v>
      </c>
      <c r="I6" s="8">
        <f t="shared" si="3"/>
        <v>438210</v>
      </c>
      <c r="J6" s="8">
        <f t="shared" si="0"/>
        <v>496638.00000000006</v>
      </c>
      <c r="K6" s="8">
        <f t="shared" si="1"/>
        <v>566751.60000000009</v>
      </c>
      <c r="L6" s="9">
        <f t="shared" si="2"/>
        <v>379782</v>
      </c>
    </row>
    <row r="7" spans="1:12" s="1" customFormat="1" ht="20.85" customHeight="1" x14ac:dyDescent="0.25">
      <c r="A7" s="7">
        <v>5</v>
      </c>
      <c r="B7" s="114"/>
      <c r="C7" s="23" t="s">
        <v>64</v>
      </c>
      <c r="D7" s="23" t="s">
        <v>68</v>
      </c>
      <c r="E7" s="23" t="s">
        <v>344</v>
      </c>
      <c r="F7" s="23">
        <v>43</v>
      </c>
      <c r="G7" s="23">
        <v>53</v>
      </c>
      <c r="H7" s="24">
        <v>640000</v>
      </c>
      <c r="I7" s="8">
        <f t="shared" si="3"/>
        <v>518400.00000000006</v>
      </c>
      <c r="J7" s="8">
        <f t="shared" si="0"/>
        <v>587520</v>
      </c>
      <c r="K7" s="8">
        <f t="shared" si="1"/>
        <v>670464</v>
      </c>
      <c r="L7" s="9">
        <f t="shared" si="2"/>
        <v>449280.00000000006</v>
      </c>
    </row>
    <row r="8" spans="1:12" s="1" customFormat="1" ht="20.85" customHeight="1" x14ac:dyDescent="0.25">
      <c r="A8" s="7">
        <v>6</v>
      </c>
      <c r="B8" s="114"/>
      <c r="C8" s="23" t="s">
        <v>65</v>
      </c>
      <c r="D8" s="23" t="s">
        <v>68</v>
      </c>
      <c r="E8" s="23" t="s">
        <v>345</v>
      </c>
      <c r="F8" s="23">
        <v>38</v>
      </c>
      <c r="G8" s="23">
        <v>47</v>
      </c>
      <c r="H8" s="24">
        <v>725000</v>
      </c>
      <c r="I8" s="8">
        <f t="shared" si="3"/>
        <v>587250</v>
      </c>
      <c r="J8" s="8">
        <f t="shared" si="0"/>
        <v>665550</v>
      </c>
      <c r="K8" s="8">
        <f t="shared" si="1"/>
        <v>759510</v>
      </c>
      <c r="L8" s="9">
        <f t="shared" si="2"/>
        <v>508950.00000000006</v>
      </c>
    </row>
    <row r="9" spans="1:12" s="1" customFormat="1" ht="20.85" customHeight="1" x14ac:dyDescent="0.25">
      <c r="A9" s="7">
        <v>7</v>
      </c>
      <c r="B9" s="114"/>
      <c r="C9" s="23" t="s">
        <v>66</v>
      </c>
      <c r="D9" s="23" t="s">
        <v>68</v>
      </c>
      <c r="E9" s="23" t="s">
        <v>346</v>
      </c>
      <c r="F9" s="23">
        <v>34</v>
      </c>
      <c r="G9" s="23">
        <v>41</v>
      </c>
      <c r="H9" s="24">
        <v>820000</v>
      </c>
      <c r="I9" s="8">
        <f t="shared" si="3"/>
        <v>664200</v>
      </c>
      <c r="J9" s="8">
        <f t="shared" si="0"/>
        <v>752760</v>
      </c>
      <c r="K9" s="8">
        <f t="shared" si="1"/>
        <v>859032</v>
      </c>
      <c r="L9" s="9">
        <f t="shared" si="2"/>
        <v>575640</v>
      </c>
    </row>
    <row r="10" spans="1:12" s="1" customFormat="1" ht="21.4" customHeight="1" x14ac:dyDescent="0.25">
      <c r="A10" s="7">
        <v>8</v>
      </c>
      <c r="B10" s="114"/>
      <c r="C10" s="23" t="s">
        <v>67</v>
      </c>
      <c r="D10" s="23" t="s">
        <v>68</v>
      </c>
      <c r="E10" s="23"/>
      <c r="F10" s="23">
        <v>30</v>
      </c>
      <c r="G10" s="23">
        <v>37</v>
      </c>
      <c r="H10" s="24">
        <v>950000</v>
      </c>
      <c r="I10" s="8">
        <f t="shared" si="3"/>
        <v>769500</v>
      </c>
      <c r="J10" s="8">
        <f t="shared" si="0"/>
        <v>872100</v>
      </c>
      <c r="K10" s="8">
        <f t="shared" si="1"/>
        <v>995220.00000000012</v>
      </c>
      <c r="L10" s="9">
        <f t="shared" si="2"/>
        <v>666900</v>
      </c>
    </row>
    <row r="11" spans="1:12" ht="30.95" customHeight="1" x14ac:dyDescent="0.25"/>
    <row r="12" spans="1:12" x14ac:dyDescent="0.25">
      <c r="A12" s="81" t="s">
        <v>70</v>
      </c>
      <c r="B12" s="81"/>
      <c r="C12" s="81"/>
      <c r="D12" s="2"/>
      <c r="E12" s="121" t="s">
        <v>94</v>
      </c>
      <c r="F12" s="121"/>
      <c r="G12" s="121"/>
      <c r="H12" s="76" t="s">
        <v>14</v>
      </c>
      <c r="I12" s="3" t="s">
        <v>10</v>
      </c>
      <c r="J12" s="3" t="s">
        <v>11</v>
      </c>
      <c r="K12" s="3" t="s">
        <v>12</v>
      </c>
      <c r="L12" s="4" t="s">
        <v>13</v>
      </c>
    </row>
    <row r="13" spans="1:12" ht="31.9" customHeight="1" x14ac:dyDescent="0.25">
      <c r="A13" s="81"/>
      <c r="B13" s="81"/>
      <c r="C13" s="81"/>
      <c r="D13" s="2"/>
      <c r="E13" s="3" t="s">
        <v>95</v>
      </c>
      <c r="F13" s="18" t="s">
        <v>96</v>
      </c>
      <c r="G13" s="18" t="s">
        <v>97</v>
      </c>
      <c r="H13" s="82"/>
      <c r="I13" s="5">
        <v>0.22</v>
      </c>
      <c r="J13" s="5">
        <v>0.12</v>
      </c>
      <c r="K13" s="5">
        <v>0.02</v>
      </c>
      <c r="L13" s="6">
        <v>0.35</v>
      </c>
    </row>
    <row r="14" spans="1:12" ht="17.850000000000001" customHeight="1" x14ac:dyDescent="0.25">
      <c r="A14" s="7">
        <v>1</v>
      </c>
      <c r="B14" s="114" t="s">
        <v>71</v>
      </c>
      <c r="C14" s="23" t="s">
        <v>60</v>
      </c>
      <c r="D14" s="23" t="s">
        <v>68</v>
      </c>
      <c r="E14" s="23">
        <v>26</v>
      </c>
      <c r="F14" s="23">
        <v>98</v>
      </c>
      <c r="G14" s="23">
        <v>118</v>
      </c>
      <c r="H14" s="24">
        <v>278000</v>
      </c>
      <c r="I14" s="8">
        <f>(H14*(1-0.22))*1.08</f>
        <v>234187.2</v>
      </c>
      <c r="J14" s="8">
        <f>(H14*(1-0.12))*1.08</f>
        <v>264211.20000000001</v>
      </c>
      <c r="K14" s="8">
        <f>(H14*(1-0.02))*1.08</f>
        <v>294235.2</v>
      </c>
      <c r="L14" s="9">
        <f>(H14*0.65)*1.08</f>
        <v>195156</v>
      </c>
    </row>
    <row r="15" spans="1:12" ht="17.850000000000001" customHeight="1" x14ac:dyDescent="0.25">
      <c r="A15" s="7">
        <v>2</v>
      </c>
      <c r="B15" s="114"/>
      <c r="C15" s="23" t="s">
        <v>61</v>
      </c>
      <c r="D15" s="23" t="s">
        <v>68</v>
      </c>
      <c r="E15" s="23">
        <v>36</v>
      </c>
      <c r="F15" s="23">
        <v>74</v>
      </c>
      <c r="G15" s="23">
        <v>87</v>
      </c>
      <c r="H15" s="24">
        <v>371000</v>
      </c>
      <c r="I15" s="8">
        <f t="shared" ref="I15:I18" si="4">(H15*(1-0.22))*1.08</f>
        <v>312530.40000000002</v>
      </c>
      <c r="J15" s="8">
        <f t="shared" ref="J15:J18" si="5">(H15*(1-0.12))*1.08</f>
        <v>352598.4</v>
      </c>
      <c r="K15" s="8">
        <f t="shared" ref="K15:K18" si="6">(H15*(1-0.02))*1.08</f>
        <v>392666.4</v>
      </c>
      <c r="L15" s="9">
        <f t="shared" ref="L15:L18" si="7">(H15*0.65)*1.08</f>
        <v>260442.00000000003</v>
      </c>
    </row>
    <row r="16" spans="1:12" ht="17.850000000000001" customHeight="1" x14ac:dyDescent="0.25">
      <c r="A16" s="7">
        <v>3</v>
      </c>
      <c r="B16" s="114"/>
      <c r="C16" s="23" t="s">
        <v>64</v>
      </c>
      <c r="D16" s="23" t="s">
        <v>68</v>
      </c>
      <c r="E16" s="23">
        <v>65</v>
      </c>
      <c r="F16" s="23">
        <v>42</v>
      </c>
      <c r="G16" s="23">
        <v>50</v>
      </c>
      <c r="H16" s="24">
        <v>630000</v>
      </c>
      <c r="I16" s="8">
        <f t="shared" si="4"/>
        <v>530712</v>
      </c>
      <c r="J16" s="8">
        <f t="shared" si="5"/>
        <v>598752</v>
      </c>
      <c r="K16" s="8">
        <f t="shared" si="6"/>
        <v>666792</v>
      </c>
      <c r="L16" s="9">
        <f t="shared" si="7"/>
        <v>442260</v>
      </c>
    </row>
    <row r="17" spans="1:12" ht="17.850000000000001" customHeight="1" x14ac:dyDescent="0.25">
      <c r="A17" s="7">
        <v>4</v>
      </c>
      <c r="B17" s="114"/>
      <c r="C17" s="23" t="s">
        <v>65</v>
      </c>
      <c r="D17" s="23" t="s">
        <v>68</v>
      </c>
      <c r="E17" s="23">
        <v>75</v>
      </c>
      <c r="F17" s="23">
        <v>37</v>
      </c>
      <c r="G17" s="23">
        <v>44</v>
      </c>
      <c r="H17" s="24">
        <v>708000</v>
      </c>
      <c r="I17" s="8">
        <f t="shared" si="4"/>
        <v>596419.20000000007</v>
      </c>
      <c r="J17" s="8">
        <f t="shared" si="5"/>
        <v>672883.20000000007</v>
      </c>
      <c r="K17" s="8">
        <f t="shared" si="6"/>
        <v>749347.20000000007</v>
      </c>
      <c r="L17" s="9">
        <f t="shared" si="7"/>
        <v>497016.00000000006</v>
      </c>
    </row>
    <row r="18" spans="1:12" ht="17.850000000000001" customHeight="1" x14ac:dyDescent="0.25">
      <c r="A18" s="7">
        <v>5</v>
      </c>
      <c r="B18" s="114"/>
      <c r="C18" s="23" t="s">
        <v>66</v>
      </c>
      <c r="D18" s="23" t="s">
        <v>68</v>
      </c>
      <c r="E18" s="23">
        <v>85</v>
      </c>
      <c r="F18" s="23">
        <v>33</v>
      </c>
      <c r="G18" s="23">
        <v>38</v>
      </c>
      <c r="H18" s="24">
        <v>825000</v>
      </c>
      <c r="I18" s="8">
        <f t="shared" si="4"/>
        <v>694980</v>
      </c>
      <c r="J18" s="8">
        <f t="shared" si="5"/>
        <v>784080</v>
      </c>
      <c r="K18" s="8">
        <f t="shared" si="6"/>
        <v>873180</v>
      </c>
      <c r="L18" s="9">
        <f t="shared" si="7"/>
        <v>579150</v>
      </c>
    </row>
  </sheetData>
  <mergeCells count="8">
    <mergeCell ref="B14:B18"/>
    <mergeCell ref="E1:G1"/>
    <mergeCell ref="E12:G12"/>
    <mergeCell ref="A1:C2"/>
    <mergeCell ref="H1:H2"/>
    <mergeCell ref="B3:B10"/>
    <mergeCell ref="A12:C13"/>
    <mergeCell ref="H12:H13"/>
  </mergeCells>
  <pageMargins left="0.7" right="0.7" top="0.75" bottom="0.75" header="0.3" footer="0.3"/>
  <pageSetup scale="56"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"/>
  <sheetViews>
    <sheetView view="pageBreakPreview" zoomScaleNormal="100" zoomScaleSheetLayoutView="100" workbookViewId="0">
      <selection activeCell="I8" sqref="I8"/>
    </sheetView>
  </sheetViews>
  <sheetFormatPr defaultRowHeight="15" x14ac:dyDescent="0.25"/>
  <cols>
    <col min="1" max="1" width="6.5703125" customWidth="1"/>
    <col min="2" max="2" width="45" bestFit="1" customWidth="1"/>
    <col min="3" max="3" width="6.5703125" customWidth="1"/>
    <col min="4" max="4" width="7.7109375" customWidth="1"/>
    <col min="5" max="5" width="16.140625" customWidth="1"/>
    <col min="6" max="9" width="13.85546875" customWidth="1"/>
  </cols>
  <sheetData>
    <row r="1" spans="1:9" ht="23.65" customHeight="1" x14ac:dyDescent="0.25">
      <c r="A1" s="81" t="s">
        <v>125</v>
      </c>
      <c r="B1" s="81"/>
      <c r="C1" s="76" t="s">
        <v>114</v>
      </c>
      <c r="D1" s="76" t="s">
        <v>115</v>
      </c>
      <c r="E1" s="76" t="s">
        <v>286</v>
      </c>
      <c r="F1" s="3" t="s">
        <v>10</v>
      </c>
      <c r="G1" s="3" t="s">
        <v>11</v>
      </c>
      <c r="H1" s="3" t="s">
        <v>12</v>
      </c>
      <c r="I1" s="4" t="s">
        <v>13</v>
      </c>
    </row>
    <row r="2" spans="1:9" ht="18" customHeight="1" x14ac:dyDescent="0.25">
      <c r="A2" s="81"/>
      <c r="B2" s="81"/>
      <c r="C2" s="77"/>
      <c r="D2" s="77"/>
      <c r="E2" s="77"/>
      <c r="F2" s="5">
        <v>0.2</v>
      </c>
      <c r="G2" s="5">
        <v>0.1</v>
      </c>
      <c r="H2" s="5">
        <v>0</v>
      </c>
      <c r="I2" s="6">
        <v>0.35</v>
      </c>
    </row>
    <row r="3" spans="1:9" s="1" customFormat="1" ht="20.45" customHeight="1" x14ac:dyDescent="0.25">
      <c r="A3" s="7">
        <v>1</v>
      </c>
      <c r="B3" s="78" t="s">
        <v>120</v>
      </c>
      <c r="C3" s="23" t="s">
        <v>122</v>
      </c>
      <c r="D3" s="23" t="s">
        <v>102</v>
      </c>
      <c r="E3" s="8">
        <v>500000</v>
      </c>
      <c r="F3" s="8">
        <f>(E3*0.8)*1.08</f>
        <v>432000</v>
      </c>
      <c r="G3" s="8">
        <f>(E3*0.9)*1.08</f>
        <v>486000.00000000006</v>
      </c>
      <c r="H3" s="8">
        <f>(E3*1)*1.08</f>
        <v>540000</v>
      </c>
      <c r="I3" s="9">
        <f>(E3*0.65)*1.08</f>
        <v>351000</v>
      </c>
    </row>
    <row r="4" spans="1:9" s="1" customFormat="1" ht="20.45" customHeight="1" x14ac:dyDescent="0.25">
      <c r="A4" s="7">
        <v>2</v>
      </c>
      <c r="B4" s="78"/>
      <c r="C4" s="23" t="s">
        <v>123</v>
      </c>
      <c r="D4" s="23" t="s">
        <v>124</v>
      </c>
      <c r="E4" s="8">
        <v>1800000</v>
      </c>
      <c r="F4" s="8">
        <f t="shared" ref="F4:F6" si="0">(E4*0.8)*1.08</f>
        <v>1555200</v>
      </c>
      <c r="G4" s="8">
        <f t="shared" ref="G4:G6" si="1">(E4*0.9)*1.08</f>
        <v>1749600</v>
      </c>
      <c r="H4" s="8">
        <f t="shared" ref="H4:H6" si="2">(E4*1)*1.08</f>
        <v>1944000.0000000002</v>
      </c>
      <c r="I4" s="9">
        <f t="shared" ref="I4:I6" si="3">(E4*0.65)*1.08</f>
        <v>1263600</v>
      </c>
    </row>
    <row r="5" spans="1:9" s="1" customFormat="1" ht="20.45" customHeight="1" x14ac:dyDescent="0.25">
      <c r="A5" s="23">
        <v>3</v>
      </c>
      <c r="B5" s="98" t="s">
        <v>121</v>
      </c>
      <c r="C5" s="23" t="s">
        <v>122</v>
      </c>
      <c r="D5" s="23" t="s">
        <v>102</v>
      </c>
      <c r="E5" s="24">
        <v>500000</v>
      </c>
      <c r="F5" s="8">
        <f t="shared" si="0"/>
        <v>432000</v>
      </c>
      <c r="G5" s="8">
        <f t="shared" si="1"/>
        <v>486000.00000000006</v>
      </c>
      <c r="H5" s="8">
        <f t="shared" si="2"/>
        <v>540000</v>
      </c>
      <c r="I5" s="9">
        <f t="shared" si="3"/>
        <v>351000</v>
      </c>
    </row>
    <row r="6" spans="1:9" s="1" customFormat="1" ht="20.45" customHeight="1" x14ac:dyDescent="0.25">
      <c r="A6" s="23">
        <v>4</v>
      </c>
      <c r="B6" s="99"/>
      <c r="C6" s="23" t="s">
        <v>123</v>
      </c>
      <c r="D6" s="23" t="s">
        <v>124</v>
      </c>
      <c r="E6" s="24">
        <v>1800000</v>
      </c>
      <c r="F6" s="8">
        <f t="shared" si="0"/>
        <v>1555200</v>
      </c>
      <c r="G6" s="8">
        <f t="shared" si="1"/>
        <v>1749600</v>
      </c>
      <c r="H6" s="8">
        <f t="shared" si="2"/>
        <v>1944000.0000000002</v>
      </c>
      <c r="I6" s="9">
        <f t="shared" si="3"/>
        <v>1263600</v>
      </c>
    </row>
    <row r="7" spans="1:9" s="1" customFormat="1" ht="20.45" customHeight="1" x14ac:dyDescent="0.25">
      <c r="A7" s="38">
        <v>5</v>
      </c>
      <c r="B7" s="38" t="s">
        <v>265</v>
      </c>
      <c r="C7" s="38" t="s">
        <v>122</v>
      </c>
      <c r="D7" s="38" t="s">
        <v>271</v>
      </c>
      <c r="E7" s="39">
        <v>650000</v>
      </c>
      <c r="F7" s="39">
        <f>(E7*0.8)*1.08</f>
        <v>561600</v>
      </c>
      <c r="G7" s="39">
        <f>(E7*0.9)*1.08</f>
        <v>631800</v>
      </c>
      <c r="H7" s="39">
        <f>(E7*1)*1.08</f>
        <v>702000</v>
      </c>
      <c r="I7" s="9">
        <f>(E7*0.65)*1.08</f>
        <v>456300.00000000006</v>
      </c>
    </row>
    <row r="8" spans="1:9" s="1" customFormat="1" ht="20.45" customHeight="1" x14ac:dyDescent="0.25">
      <c r="A8" s="38">
        <v>6</v>
      </c>
      <c r="B8" s="38" t="s">
        <v>266</v>
      </c>
      <c r="C8" s="38" t="s">
        <v>122</v>
      </c>
      <c r="D8" s="38" t="s">
        <v>271</v>
      </c>
      <c r="E8" s="39">
        <v>650000</v>
      </c>
      <c r="F8" s="39">
        <f t="shared" ref="F8:F12" si="4">(E8*0.8)*1.08</f>
        <v>561600</v>
      </c>
      <c r="G8" s="39">
        <f t="shared" ref="G8:G12" si="5">(E8*0.9)*1.08</f>
        <v>631800</v>
      </c>
      <c r="H8" s="39">
        <f t="shared" ref="H8:H12" si="6">(E8*1)*1.08</f>
        <v>702000</v>
      </c>
      <c r="I8" s="9">
        <f t="shared" ref="I8:I12" si="7">(E8*0.65)*1.08</f>
        <v>456300.00000000006</v>
      </c>
    </row>
    <row r="9" spans="1:9" s="1" customFormat="1" ht="20.45" customHeight="1" x14ac:dyDescent="0.25">
      <c r="A9" s="38">
        <v>7</v>
      </c>
      <c r="B9" s="38" t="s">
        <v>267</v>
      </c>
      <c r="C9" s="38" t="s">
        <v>122</v>
      </c>
      <c r="D9" s="38" t="s">
        <v>271</v>
      </c>
      <c r="E9" s="39">
        <v>650000</v>
      </c>
      <c r="F9" s="39">
        <f t="shared" si="4"/>
        <v>561600</v>
      </c>
      <c r="G9" s="39">
        <f t="shared" si="5"/>
        <v>631800</v>
      </c>
      <c r="H9" s="39">
        <f t="shared" si="6"/>
        <v>702000</v>
      </c>
      <c r="I9" s="9">
        <f t="shared" si="7"/>
        <v>456300.00000000006</v>
      </c>
    </row>
    <row r="10" spans="1:9" s="1" customFormat="1" ht="20.45" customHeight="1" x14ac:dyDescent="0.25">
      <c r="A10" s="38">
        <v>8</v>
      </c>
      <c r="B10" s="38" t="s">
        <v>268</v>
      </c>
      <c r="C10" s="38" t="s">
        <v>123</v>
      </c>
      <c r="D10" s="38" t="s">
        <v>124</v>
      </c>
      <c r="E10" s="39">
        <v>2000000</v>
      </c>
      <c r="F10" s="39">
        <f t="shared" si="4"/>
        <v>1728000</v>
      </c>
      <c r="G10" s="39">
        <f t="shared" si="5"/>
        <v>1944000.0000000002</v>
      </c>
      <c r="H10" s="39">
        <f t="shared" si="6"/>
        <v>2160000</v>
      </c>
      <c r="I10" s="9">
        <f t="shared" si="7"/>
        <v>1404000</v>
      </c>
    </row>
    <row r="11" spans="1:9" s="1" customFormat="1" ht="20.45" customHeight="1" x14ac:dyDescent="0.25">
      <c r="A11" s="38">
        <v>9</v>
      </c>
      <c r="B11" s="38" t="s">
        <v>269</v>
      </c>
      <c r="C11" s="38" t="s">
        <v>123</v>
      </c>
      <c r="D11" s="38" t="s">
        <v>124</v>
      </c>
      <c r="E11" s="39">
        <v>2000000</v>
      </c>
      <c r="F11" s="39">
        <f t="shared" si="4"/>
        <v>1728000</v>
      </c>
      <c r="G11" s="39">
        <f t="shared" si="5"/>
        <v>1944000.0000000002</v>
      </c>
      <c r="H11" s="39">
        <f t="shared" si="6"/>
        <v>2160000</v>
      </c>
      <c r="I11" s="9">
        <f t="shared" si="7"/>
        <v>1404000</v>
      </c>
    </row>
    <row r="12" spans="1:9" s="1" customFormat="1" ht="20.45" customHeight="1" x14ac:dyDescent="0.25">
      <c r="A12" s="38">
        <v>10</v>
      </c>
      <c r="B12" s="38" t="s">
        <v>270</v>
      </c>
      <c r="C12" s="38" t="s">
        <v>123</v>
      </c>
      <c r="D12" s="38" t="s">
        <v>124</v>
      </c>
      <c r="E12" s="39">
        <v>2000000</v>
      </c>
      <c r="F12" s="39">
        <f t="shared" si="4"/>
        <v>1728000</v>
      </c>
      <c r="G12" s="39">
        <f t="shared" si="5"/>
        <v>1944000.0000000002</v>
      </c>
      <c r="H12" s="39">
        <f t="shared" si="6"/>
        <v>2160000</v>
      </c>
      <c r="I12" s="9">
        <f t="shared" si="7"/>
        <v>1404000</v>
      </c>
    </row>
  </sheetData>
  <mergeCells count="6">
    <mergeCell ref="E1:E2"/>
    <mergeCell ref="B3:B4"/>
    <mergeCell ref="B5:B6"/>
    <mergeCell ref="A1:B2"/>
    <mergeCell ref="C1:C2"/>
    <mergeCell ref="D1:D2"/>
  </mergeCells>
  <pageMargins left="0.7" right="0.7" top="0.75" bottom="0.75" header="0.3" footer="0.3"/>
  <pageSetup scale="58"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view="pageBreakPreview" topLeftCell="B1" zoomScaleNormal="100" zoomScaleSheetLayoutView="100" workbookViewId="0">
      <selection activeCell="G12" sqref="G12"/>
    </sheetView>
  </sheetViews>
  <sheetFormatPr defaultRowHeight="15" x14ac:dyDescent="0.25"/>
  <cols>
    <col min="2" max="2" width="57.140625" customWidth="1"/>
    <col min="3" max="4" width="10.85546875" customWidth="1"/>
    <col min="5" max="6" width="13.140625" customWidth="1"/>
    <col min="7" max="10" width="13.85546875" customWidth="1"/>
  </cols>
  <sheetData>
    <row r="1" spans="1:10" ht="23.65" customHeight="1" x14ac:dyDescent="0.25">
      <c r="A1" s="122" t="s">
        <v>134</v>
      </c>
      <c r="B1" s="123"/>
      <c r="C1" s="124"/>
      <c r="D1" s="76" t="s">
        <v>114</v>
      </c>
      <c r="E1" s="76" t="s">
        <v>115</v>
      </c>
      <c r="F1" s="76" t="s">
        <v>334</v>
      </c>
      <c r="G1" s="3" t="s">
        <v>10</v>
      </c>
      <c r="H1" s="3" t="s">
        <v>11</v>
      </c>
      <c r="I1" s="3" t="s">
        <v>12</v>
      </c>
      <c r="J1" s="4" t="s">
        <v>13</v>
      </c>
    </row>
    <row r="2" spans="1:10" ht="18" customHeight="1" x14ac:dyDescent="0.25">
      <c r="A2" s="122"/>
      <c r="B2" s="123"/>
      <c r="C2" s="124"/>
      <c r="D2" s="126"/>
      <c r="E2" s="77"/>
      <c r="F2" s="77"/>
      <c r="G2" s="5">
        <v>0.2</v>
      </c>
      <c r="H2" s="5">
        <v>0.1</v>
      </c>
      <c r="I2" s="5">
        <v>0</v>
      </c>
      <c r="J2" s="6">
        <v>0.35</v>
      </c>
    </row>
    <row r="3" spans="1:10" s="1" customFormat="1" ht="33" customHeight="1" x14ac:dyDescent="0.25">
      <c r="A3" s="7">
        <v>1</v>
      </c>
      <c r="B3" s="125" t="s">
        <v>127</v>
      </c>
      <c r="C3" s="125"/>
      <c r="D3" s="23" t="s">
        <v>131</v>
      </c>
      <c r="E3" s="23" t="s">
        <v>132</v>
      </c>
      <c r="F3" s="8">
        <v>875000</v>
      </c>
      <c r="G3" s="8">
        <f>(F3*0.8)*1.08</f>
        <v>756000</v>
      </c>
      <c r="H3" s="8">
        <f>(F3*0.9)*1.08</f>
        <v>850500</v>
      </c>
      <c r="I3" s="8">
        <f>(F3*1)*1.08</f>
        <v>945000.00000000012</v>
      </c>
      <c r="J3" s="9">
        <f>(F3*0.65)*1.08</f>
        <v>614250</v>
      </c>
    </row>
    <row r="4" spans="1:10" s="1" customFormat="1" ht="33" customHeight="1" x14ac:dyDescent="0.25">
      <c r="A4" s="7">
        <v>2</v>
      </c>
      <c r="B4" s="125" t="s">
        <v>128</v>
      </c>
      <c r="C4" s="125"/>
      <c r="D4" s="23" t="s">
        <v>131</v>
      </c>
      <c r="E4" s="23" t="s">
        <v>132</v>
      </c>
      <c r="F4" s="8">
        <v>960000</v>
      </c>
      <c r="G4" s="8">
        <f t="shared" ref="G4:G6" si="0">(F4*0.8)*1.08</f>
        <v>829440</v>
      </c>
      <c r="H4" s="8">
        <f t="shared" ref="H4:H6" si="1">(F4*0.9)*1.08</f>
        <v>933120.00000000012</v>
      </c>
      <c r="I4" s="8">
        <f t="shared" ref="I4:I6" si="2">(F4*1)*1.08</f>
        <v>1036800.0000000001</v>
      </c>
      <c r="J4" s="9">
        <f t="shared" ref="J4:J6" si="3">(F4*0.65)*1.08</f>
        <v>673920</v>
      </c>
    </row>
    <row r="5" spans="1:10" s="28" customFormat="1" ht="33" customHeight="1" x14ac:dyDescent="0.25">
      <c r="A5" s="23">
        <v>3</v>
      </c>
      <c r="B5" s="125" t="s">
        <v>129</v>
      </c>
      <c r="C5" s="125"/>
      <c r="D5" s="23" t="s">
        <v>133</v>
      </c>
      <c r="E5" s="23" t="s">
        <v>132</v>
      </c>
      <c r="F5" s="8">
        <v>1175000</v>
      </c>
      <c r="G5" s="8">
        <f t="shared" si="0"/>
        <v>1015200.0000000001</v>
      </c>
      <c r="H5" s="8">
        <f t="shared" si="1"/>
        <v>1142100</v>
      </c>
      <c r="I5" s="8">
        <f t="shared" si="2"/>
        <v>1269000</v>
      </c>
      <c r="J5" s="9">
        <f t="shared" si="3"/>
        <v>824850</v>
      </c>
    </row>
    <row r="6" spans="1:10" s="28" customFormat="1" ht="33" customHeight="1" x14ac:dyDescent="0.25">
      <c r="A6" s="23">
        <v>4</v>
      </c>
      <c r="B6" s="125" t="s">
        <v>130</v>
      </c>
      <c r="C6" s="125"/>
      <c r="D6" s="23" t="s">
        <v>133</v>
      </c>
      <c r="E6" s="23" t="s">
        <v>132</v>
      </c>
      <c r="F6" s="8">
        <v>1290000</v>
      </c>
      <c r="G6" s="8">
        <f t="shared" si="0"/>
        <v>1114560</v>
      </c>
      <c r="H6" s="8">
        <f t="shared" si="1"/>
        <v>1253880</v>
      </c>
      <c r="I6" s="8">
        <f t="shared" si="2"/>
        <v>1393200</v>
      </c>
      <c r="J6" s="9">
        <f t="shared" si="3"/>
        <v>905580.00000000012</v>
      </c>
    </row>
    <row r="7" spans="1:10" x14ac:dyDescent="0.25">
      <c r="D7" s="46"/>
    </row>
    <row r="8" spans="1:10" ht="19.149999999999999" customHeight="1" x14ac:dyDescent="0.25">
      <c r="A8" s="81" t="s">
        <v>308</v>
      </c>
      <c r="B8" s="81"/>
      <c r="C8" s="76" t="s">
        <v>312</v>
      </c>
      <c r="D8" s="76" t="s">
        <v>314</v>
      </c>
      <c r="E8" s="76" t="s">
        <v>115</v>
      </c>
      <c r="F8" s="76" t="s">
        <v>334</v>
      </c>
      <c r="G8" s="3" t="s">
        <v>10</v>
      </c>
      <c r="H8" s="3" t="s">
        <v>11</v>
      </c>
      <c r="I8" s="3" t="s">
        <v>12</v>
      </c>
      <c r="J8" s="4" t="s">
        <v>13</v>
      </c>
    </row>
    <row r="9" spans="1:10" ht="22.15" customHeight="1" x14ac:dyDescent="0.25">
      <c r="A9" s="81"/>
      <c r="B9" s="81"/>
      <c r="C9" s="77"/>
      <c r="D9" s="126"/>
      <c r="E9" s="77"/>
      <c r="F9" s="77"/>
      <c r="G9" s="5">
        <v>0.2</v>
      </c>
      <c r="H9" s="5">
        <v>0.1</v>
      </c>
      <c r="I9" s="5">
        <v>0</v>
      </c>
      <c r="J9" s="6">
        <v>0.35</v>
      </c>
    </row>
    <row r="10" spans="1:10" ht="33" customHeight="1" x14ac:dyDescent="0.25">
      <c r="A10" s="7">
        <v>1</v>
      </c>
      <c r="B10" s="23" t="s">
        <v>309</v>
      </c>
      <c r="C10" s="23">
        <v>25</v>
      </c>
      <c r="D10" s="23">
        <v>8</v>
      </c>
      <c r="E10" s="23" t="s">
        <v>313</v>
      </c>
      <c r="F10" s="24">
        <f>8640/1.08</f>
        <v>7999.9999999999991</v>
      </c>
      <c r="G10" s="8">
        <f>(F10*0.8)*1.08</f>
        <v>6912</v>
      </c>
      <c r="H10" s="8">
        <f>(F10*0.9)*1.08</f>
        <v>7775.9999999999991</v>
      </c>
      <c r="I10" s="8">
        <f>(F10*1)*1.08</f>
        <v>8640</v>
      </c>
      <c r="J10" s="9">
        <f>(F10*0.65)*1.08</f>
        <v>5616</v>
      </c>
    </row>
    <row r="11" spans="1:10" ht="33" customHeight="1" x14ac:dyDescent="0.25">
      <c r="A11" s="7">
        <v>2</v>
      </c>
      <c r="B11" s="23" t="s">
        <v>310</v>
      </c>
      <c r="C11" s="23">
        <v>50</v>
      </c>
      <c r="D11" s="23">
        <v>20</v>
      </c>
      <c r="E11" s="23" t="s">
        <v>313</v>
      </c>
      <c r="F11" s="24">
        <f>4104/1.08</f>
        <v>3799.9999999999995</v>
      </c>
      <c r="G11" s="8">
        <f>(F11*0.8)*1.08</f>
        <v>3283.2000000000003</v>
      </c>
      <c r="H11" s="8">
        <f>(F11*0.9)*1.08</f>
        <v>3693.6</v>
      </c>
      <c r="I11" s="8">
        <f t="shared" ref="I11:I12" si="4">(F11*1)*1.08</f>
        <v>4104</v>
      </c>
      <c r="J11" s="9">
        <f t="shared" ref="J11:J12" si="5">(F11*0.65)*1.08</f>
        <v>2667.6000000000004</v>
      </c>
    </row>
    <row r="12" spans="1:10" ht="33" customHeight="1" x14ac:dyDescent="0.25">
      <c r="A12" s="23">
        <v>3</v>
      </c>
      <c r="B12" s="23" t="s">
        <v>311</v>
      </c>
      <c r="C12" s="23">
        <v>25</v>
      </c>
      <c r="D12" s="23">
        <v>1</v>
      </c>
      <c r="E12" s="23" t="s">
        <v>313</v>
      </c>
      <c r="F12" s="24">
        <f>41796/1.08</f>
        <v>38700</v>
      </c>
      <c r="G12" s="8">
        <f>(F12*0.8)*1.08</f>
        <v>33436.800000000003</v>
      </c>
      <c r="H12" s="8">
        <f>(F12*0.9)*1.08</f>
        <v>37616.400000000001</v>
      </c>
      <c r="I12" s="8">
        <f t="shared" si="4"/>
        <v>41796</v>
      </c>
      <c r="J12" s="9">
        <f t="shared" si="5"/>
        <v>27167.4</v>
      </c>
    </row>
    <row r="13" spans="1:10" x14ac:dyDescent="0.25">
      <c r="D13" s="23"/>
    </row>
  </sheetData>
  <mergeCells count="13">
    <mergeCell ref="F1:F2"/>
    <mergeCell ref="F8:F9"/>
    <mergeCell ref="A1:C2"/>
    <mergeCell ref="B3:C3"/>
    <mergeCell ref="B4:C4"/>
    <mergeCell ref="B5:C5"/>
    <mergeCell ref="B6:C6"/>
    <mergeCell ref="D1:D2"/>
    <mergeCell ref="D8:D9"/>
    <mergeCell ref="A8:B9"/>
    <mergeCell ref="C8:C9"/>
    <mergeCell ref="E8:E9"/>
    <mergeCell ref="E1:E2"/>
  </mergeCells>
  <pageMargins left="0.7" right="0.7" top="0.75" bottom="0.75" header="0.3" footer="0.3"/>
  <pageSetup scale="53"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1"/>
  <sheetViews>
    <sheetView view="pageBreakPreview" topLeftCell="C1" zoomScaleNormal="100" zoomScaleSheetLayoutView="100" workbookViewId="0">
      <selection activeCell="F3" sqref="F3"/>
    </sheetView>
  </sheetViews>
  <sheetFormatPr defaultRowHeight="15" x14ac:dyDescent="0.25"/>
  <cols>
    <col min="1" max="1" width="4" customWidth="1"/>
    <col min="2" max="2" width="62.140625" customWidth="1"/>
    <col min="3" max="3" width="7.7109375" customWidth="1"/>
    <col min="4" max="6" width="9.5703125" customWidth="1"/>
    <col min="7" max="10" width="13.85546875" customWidth="1"/>
    <col min="11" max="11" width="9.140625" customWidth="1"/>
  </cols>
  <sheetData>
    <row r="1" spans="1:11" ht="23.65" customHeight="1" x14ac:dyDescent="0.25">
      <c r="A1" s="81" t="s">
        <v>287</v>
      </c>
      <c r="B1" s="81"/>
      <c r="C1" s="76" t="s">
        <v>115</v>
      </c>
      <c r="D1" s="76" t="s">
        <v>158</v>
      </c>
      <c r="E1" s="76" t="s">
        <v>211</v>
      </c>
      <c r="F1" s="76" t="s">
        <v>334</v>
      </c>
      <c r="G1" s="3" t="s">
        <v>10</v>
      </c>
      <c r="H1" s="3" t="s">
        <v>11</v>
      </c>
      <c r="I1" s="3" t="s">
        <v>12</v>
      </c>
      <c r="J1" s="4" t="s">
        <v>13</v>
      </c>
      <c r="K1" s="116" t="s">
        <v>159</v>
      </c>
    </row>
    <row r="2" spans="1:11" ht="18" customHeight="1" x14ac:dyDescent="0.25">
      <c r="A2" s="81"/>
      <c r="B2" s="81"/>
      <c r="C2" s="77"/>
      <c r="D2" s="77"/>
      <c r="E2" s="77"/>
      <c r="F2" s="77"/>
      <c r="G2" s="5">
        <v>0.2</v>
      </c>
      <c r="H2" s="5">
        <v>0.1</v>
      </c>
      <c r="I2" s="5">
        <v>0</v>
      </c>
      <c r="J2" s="6">
        <v>0.35</v>
      </c>
      <c r="K2" s="116"/>
    </row>
    <row r="3" spans="1:11" s="31" customFormat="1" ht="13.9" customHeight="1" x14ac:dyDescent="0.25">
      <c r="A3" s="29">
        <v>1</v>
      </c>
      <c r="B3" s="32" t="s">
        <v>162</v>
      </c>
      <c r="C3" s="30" t="s">
        <v>30</v>
      </c>
      <c r="D3" s="30">
        <v>100</v>
      </c>
      <c r="E3" s="30">
        <v>10</v>
      </c>
      <c r="F3" s="51">
        <f>I3/1.08</f>
        <v>49</v>
      </c>
      <c r="G3" s="52">
        <f>(F3*0.8)*1.08</f>
        <v>42.336000000000006</v>
      </c>
      <c r="H3" s="52">
        <f>(F3*0.9)*1.08</f>
        <v>47.628000000000007</v>
      </c>
      <c r="I3" s="51">
        <v>52.92</v>
      </c>
      <c r="J3" s="53">
        <f>(F3*0.65)*1.08</f>
        <v>34.398000000000003</v>
      </c>
      <c r="K3" s="127">
        <v>100</v>
      </c>
    </row>
    <row r="4" spans="1:11" s="31" customFormat="1" ht="13.9" customHeight="1" x14ac:dyDescent="0.25">
      <c r="A4" s="29">
        <v>2</v>
      </c>
      <c r="B4" s="32" t="s">
        <v>163</v>
      </c>
      <c r="C4" s="30" t="s">
        <v>30</v>
      </c>
      <c r="D4" s="30">
        <v>100</v>
      </c>
      <c r="E4" s="30">
        <v>10</v>
      </c>
      <c r="F4" s="51">
        <f t="shared" ref="F4:F51" si="0">I4/1.08</f>
        <v>51.999999999999993</v>
      </c>
      <c r="G4" s="52">
        <f t="shared" ref="G4:G51" si="1">(F4*0.8)*1.08</f>
        <v>44.927999999999997</v>
      </c>
      <c r="H4" s="52">
        <f t="shared" ref="H4:H51" si="2">(F4*0.9)*1.08</f>
        <v>50.543999999999997</v>
      </c>
      <c r="I4" s="51">
        <v>56.16</v>
      </c>
      <c r="J4" s="53">
        <f t="shared" ref="J4:J51" si="3">(F4*0.65)*1.08</f>
        <v>36.503999999999998</v>
      </c>
      <c r="K4" s="128"/>
    </row>
    <row r="5" spans="1:11" s="31" customFormat="1" ht="13.9" customHeight="1" x14ac:dyDescent="0.25">
      <c r="A5" s="29">
        <v>3</v>
      </c>
      <c r="B5" s="32" t="s">
        <v>164</v>
      </c>
      <c r="C5" s="30" t="s">
        <v>30</v>
      </c>
      <c r="D5" s="30">
        <v>100</v>
      </c>
      <c r="E5" s="30">
        <v>10</v>
      </c>
      <c r="F5" s="51">
        <f t="shared" si="0"/>
        <v>63</v>
      </c>
      <c r="G5" s="52">
        <f t="shared" si="1"/>
        <v>54.432000000000009</v>
      </c>
      <c r="H5" s="52">
        <f t="shared" si="2"/>
        <v>61.236000000000004</v>
      </c>
      <c r="I5" s="51">
        <v>68.040000000000006</v>
      </c>
      <c r="J5" s="53">
        <f t="shared" si="3"/>
        <v>44.226000000000006</v>
      </c>
      <c r="K5" s="128"/>
    </row>
    <row r="6" spans="1:11" s="31" customFormat="1" ht="13.9" customHeight="1" x14ac:dyDescent="0.25">
      <c r="A6" s="29">
        <v>4</v>
      </c>
      <c r="B6" s="32" t="s">
        <v>165</v>
      </c>
      <c r="C6" s="30" t="s">
        <v>30</v>
      </c>
      <c r="D6" s="30">
        <v>100</v>
      </c>
      <c r="E6" s="30">
        <v>10</v>
      </c>
      <c r="F6" s="51">
        <f t="shared" si="0"/>
        <v>65</v>
      </c>
      <c r="G6" s="52">
        <f t="shared" si="1"/>
        <v>56.160000000000004</v>
      </c>
      <c r="H6" s="52">
        <f t="shared" si="2"/>
        <v>63.180000000000007</v>
      </c>
      <c r="I6" s="51">
        <v>70.2</v>
      </c>
      <c r="J6" s="53">
        <f t="shared" si="3"/>
        <v>45.63</v>
      </c>
      <c r="K6" s="128"/>
    </row>
    <row r="7" spans="1:11" s="31" customFormat="1" ht="13.9" customHeight="1" x14ac:dyDescent="0.25">
      <c r="A7" s="29">
        <v>5</v>
      </c>
      <c r="B7" s="32" t="s">
        <v>166</v>
      </c>
      <c r="C7" s="30" t="s">
        <v>30</v>
      </c>
      <c r="D7" s="30">
        <v>100</v>
      </c>
      <c r="E7" s="30">
        <v>10</v>
      </c>
      <c r="F7" s="51">
        <f t="shared" si="0"/>
        <v>63</v>
      </c>
      <c r="G7" s="52">
        <f t="shared" si="1"/>
        <v>54.432000000000009</v>
      </c>
      <c r="H7" s="52">
        <f t="shared" si="2"/>
        <v>61.236000000000004</v>
      </c>
      <c r="I7" s="51">
        <v>68.040000000000006</v>
      </c>
      <c r="J7" s="53">
        <f t="shared" si="3"/>
        <v>44.226000000000006</v>
      </c>
      <c r="K7" s="128"/>
    </row>
    <row r="8" spans="1:11" s="31" customFormat="1" ht="13.9" customHeight="1" x14ac:dyDescent="0.25">
      <c r="A8" s="29">
        <v>6</v>
      </c>
      <c r="B8" s="32" t="s">
        <v>167</v>
      </c>
      <c r="C8" s="30" t="s">
        <v>30</v>
      </c>
      <c r="D8" s="30">
        <v>100</v>
      </c>
      <c r="E8" s="30">
        <v>10</v>
      </c>
      <c r="F8" s="51">
        <f t="shared" si="0"/>
        <v>68.999999999999986</v>
      </c>
      <c r="G8" s="52">
        <f t="shared" si="1"/>
        <v>59.615999999999993</v>
      </c>
      <c r="H8" s="52">
        <f t="shared" si="2"/>
        <v>67.067999999999984</v>
      </c>
      <c r="I8" s="51">
        <v>74.52</v>
      </c>
      <c r="J8" s="53">
        <f t="shared" si="3"/>
        <v>48.437999999999995</v>
      </c>
      <c r="K8" s="128"/>
    </row>
    <row r="9" spans="1:11" s="31" customFormat="1" ht="13.9" customHeight="1" x14ac:dyDescent="0.25">
      <c r="A9" s="29">
        <v>7</v>
      </c>
      <c r="B9" s="32" t="s">
        <v>168</v>
      </c>
      <c r="C9" s="30" t="s">
        <v>30</v>
      </c>
      <c r="D9" s="30">
        <v>100</v>
      </c>
      <c r="E9" s="30">
        <v>10</v>
      </c>
      <c r="F9" s="51">
        <f t="shared" si="0"/>
        <v>73</v>
      </c>
      <c r="G9" s="52">
        <f t="shared" si="1"/>
        <v>63.07200000000001</v>
      </c>
      <c r="H9" s="52">
        <f t="shared" si="2"/>
        <v>70.956000000000003</v>
      </c>
      <c r="I9" s="51">
        <v>78.84</v>
      </c>
      <c r="J9" s="53">
        <f t="shared" si="3"/>
        <v>51.246000000000009</v>
      </c>
      <c r="K9" s="128"/>
    </row>
    <row r="10" spans="1:11" s="31" customFormat="1" ht="13.9" customHeight="1" x14ac:dyDescent="0.25">
      <c r="A10" s="29">
        <v>8</v>
      </c>
      <c r="B10" s="32" t="s">
        <v>169</v>
      </c>
      <c r="C10" s="30" t="s">
        <v>30</v>
      </c>
      <c r="D10" s="30">
        <v>100</v>
      </c>
      <c r="E10" s="30">
        <v>10</v>
      </c>
      <c r="F10" s="51">
        <f t="shared" si="0"/>
        <v>76</v>
      </c>
      <c r="G10" s="52">
        <f t="shared" si="1"/>
        <v>65.664000000000016</v>
      </c>
      <c r="H10" s="52">
        <f t="shared" si="2"/>
        <v>73.872000000000014</v>
      </c>
      <c r="I10" s="51">
        <v>82.08</v>
      </c>
      <c r="J10" s="53">
        <f t="shared" si="3"/>
        <v>53.352000000000004</v>
      </c>
      <c r="K10" s="128"/>
    </row>
    <row r="11" spans="1:11" s="31" customFormat="1" ht="13.9" customHeight="1" x14ac:dyDescent="0.25">
      <c r="A11" s="29">
        <v>9</v>
      </c>
      <c r="B11" s="32" t="s">
        <v>170</v>
      </c>
      <c r="C11" s="30" t="s">
        <v>30</v>
      </c>
      <c r="D11" s="30">
        <v>100</v>
      </c>
      <c r="E11" s="30">
        <v>10</v>
      </c>
      <c r="F11" s="51">
        <f t="shared" si="0"/>
        <v>61.999999999999993</v>
      </c>
      <c r="G11" s="52">
        <f t="shared" si="1"/>
        <v>53.567999999999998</v>
      </c>
      <c r="H11" s="52">
        <f t="shared" si="2"/>
        <v>60.264000000000003</v>
      </c>
      <c r="I11" s="51">
        <v>66.959999999999994</v>
      </c>
      <c r="J11" s="53">
        <f t="shared" si="3"/>
        <v>43.524000000000001</v>
      </c>
      <c r="K11" s="128"/>
    </row>
    <row r="12" spans="1:11" s="31" customFormat="1" ht="13.9" customHeight="1" x14ac:dyDescent="0.25">
      <c r="A12" s="29">
        <v>10</v>
      </c>
      <c r="B12" s="32" t="s">
        <v>171</v>
      </c>
      <c r="C12" s="30" t="s">
        <v>30</v>
      </c>
      <c r="D12" s="30">
        <v>100</v>
      </c>
      <c r="E12" s="30">
        <v>10</v>
      </c>
      <c r="F12" s="51">
        <f t="shared" si="0"/>
        <v>185</v>
      </c>
      <c r="G12" s="52">
        <f t="shared" si="1"/>
        <v>159.84</v>
      </c>
      <c r="H12" s="52">
        <f t="shared" si="2"/>
        <v>179.82000000000002</v>
      </c>
      <c r="I12" s="51">
        <v>199.8</v>
      </c>
      <c r="J12" s="53">
        <f t="shared" si="3"/>
        <v>129.87</v>
      </c>
      <c r="K12" s="128"/>
    </row>
    <row r="13" spans="1:11" s="31" customFormat="1" ht="13.9" customHeight="1" x14ac:dyDescent="0.25">
      <c r="A13" s="29">
        <v>11</v>
      </c>
      <c r="B13" s="32" t="s">
        <v>172</v>
      </c>
      <c r="C13" s="30" t="s">
        <v>30</v>
      </c>
      <c r="D13" s="30">
        <v>100</v>
      </c>
      <c r="E13" s="30">
        <v>10</v>
      </c>
      <c r="F13" s="51">
        <f t="shared" si="0"/>
        <v>55.999999999999993</v>
      </c>
      <c r="G13" s="52">
        <f t="shared" si="1"/>
        <v>48.384</v>
      </c>
      <c r="H13" s="52">
        <f t="shared" si="2"/>
        <v>54.431999999999995</v>
      </c>
      <c r="I13" s="51">
        <v>60.48</v>
      </c>
      <c r="J13" s="53">
        <f t="shared" si="3"/>
        <v>39.311999999999998</v>
      </c>
      <c r="K13" s="128"/>
    </row>
    <row r="14" spans="1:11" s="31" customFormat="1" ht="13.9" customHeight="1" x14ac:dyDescent="0.25">
      <c r="A14" s="29">
        <v>12</v>
      </c>
      <c r="B14" s="32" t="s">
        <v>173</v>
      </c>
      <c r="C14" s="30" t="s">
        <v>30</v>
      </c>
      <c r="D14" s="30">
        <v>100</v>
      </c>
      <c r="E14" s="30">
        <v>10</v>
      </c>
      <c r="F14" s="51">
        <f t="shared" si="0"/>
        <v>78.999999999999986</v>
      </c>
      <c r="G14" s="52">
        <f t="shared" si="1"/>
        <v>68.255999999999986</v>
      </c>
      <c r="H14" s="52">
        <f t="shared" si="2"/>
        <v>76.787999999999997</v>
      </c>
      <c r="I14" s="51">
        <v>85.32</v>
      </c>
      <c r="J14" s="53">
        <f t="shared" si="3"/>
        <v>55.457999999999998</v>
      </c>
      <c r="K14" s="128"/>
    </row>
    <row r="15" spans="1:11" s="31" customFormat="1" ht="13.9" customHeight="1" x14ac:dyDescent="0.25">
      <c r="A15" s="29">
        <v>13</v>
      </c>
      <c r="B15" s="32" t="s">
        <v>174</v>
      </c>
      <c r="C15" s="30" t="s">
        <v>30</v>
      </c>
      <c r="D15" s="30">
        <v>80</v>
      </c>
      <c r="E15" s="30">
        <v>8</v>
      </c>
      <c r="F15" s="51">
        <f t="shared" si="0"/>
        <v>203</v>
      </c>
      <c r="G15" s="52">
        <f t="shared" si="1"/>
        <v>175.39200000000002</v>
      </c>
      <c r="H15" s="52">
        <f t="shared" si="2"/>
        <v>197.31600000000003</v>
      </c>
      <c r="I15" s="51">
        <v>219.24</v>
      </c>
      <c r="J15" s="53">
        <f t="shared" si="3"/>
        <v>142.50600000000003</v>
      </c>
      <c r="K15" s="128"/>
    </row>
    <row r="16" spans="1:11" s="31" customFormat="1" ht="13.9" customHeight="1" x14ac:dyDescent="0.25">
      <c r="A16" s="29">
        <v>14</v>
      </c>
      <c r="B16" s="32" t="s">
        <v>175</v>
      </c>
      <c r="C16" s="30" t="s">
        <v>30</v>
      </c>
      <c r="D16" s="30">
        <v>80</v>
      </c>
      <c r="E16" s="30">
        <v>8</v>
      </c>
      <c r="F16" s="51">
        <f t="shared" si="0"/>
        <v>203</v>
      </c>
      <c r="G16" s="52">
        <f t="shared" si="1"/>
        <v>175.39200000000002</v>
      </c>
      <c r="H16" s="52">
        <f t="shared" si="2"/>
        <v>197.31600000000003</v>
      </c>
      <c r="I16" s="51">
        <v>219.24</v>
      </c>
      <c r="J16" s="53">
        <f t="shared" si="3"/>
        <v>142.50600000000003</v>
      </c>
      <c r="K16" s="128"/>
    </row>
    <row r="17" spans="1:11" s="31" customFormat="1" ht="13.9" customHeight="1" x14ac:dyDescent="0.25">
      <c r="A17" s="29">
        <v>15</v>
      </c>
      <c r="B17" s="32" t="s">
        <v>176</v>
      </c>
      <c r="C17" s="30" t="s">
        <v>30</v>
      </c>
      <c r="D17" s="30">
        <v>100</v>
      </c>
      <c r="E17" s="30">
        <v>10</v>
      </c>
      <c r="F17" s="51">
        <f t="shared" si="0"/>
        <v>25.999999999999996</v>
      </c>
      <c r="G17" s="52">
        <f t="shared" si="1"/>
        <v>22.463999999999999</v>
      </c>
      <c r="H17" s="52">
        <f t="shared" si="2"/>
        <v>25.271999999999998</v>
      </c>
      <c r="I17" s="51">
        <v>28.08</v>
      </c>
      <c r="J17" s="53">
        <f t="shared" si="3"/>
        <v>18.251999999999999</v>
      </c>
      <c r="K17" s="128"/>
    </row>
    <row r="18" spans="1:11" s="31" customFormat="1" ht="13.9" customHeight="1" x14ac:dyDescent="0.25">
      <c r="A18" s="29">
        <v>16</v>
      </c>
      <c r="B18" s="32" t="s">
        <v>177</v>
      </c>
      <c r="C18" s="30" t="s">
        <v>30</v>
      </c>
      <c r="D18" s="30">
        <v>100</v>
      </c>
      <c r="E18" s="30">
        <v>10</v>
      </c>
      <c r="F18" s="51">
        <f t="shared" si="0"/>
        <v>34.999999999999993</v>
      </c>
      <c r="G18" s="52">
        <f t="shared" si="1"/>
        <v>30.24</v>
      </c>
      <c r="H18" s="52">
        <f t="shared" si="2"/>
        <v>34.019999999999996</v>
      </c>
      <c r="I18" s="51">
        <v>37.799999999999997</v>
      </c>
      <c r="J18" s="53">
        <f t="shared" si="3"/>
        <v>24.569999999999997</v>
      </c>
      <c r="K18" s="128"/>
    </row>
    <row r="19" spans="1:11" s="31" customFormat="1" ht="13.9" customHeight="1" x14ac:dyDescent="0.25">
      <c r="A19" s="29">
        <v>17</v>
      </c>
      <c r="B19" s="32" t="s">
        <v>178</v>
      </c>
      <c r="C19" s="30" t="s">
        <v>30</v>
      </c>
      <c r="D19" s="30">
        <v>100</v>
      </c>
      <c r="E19" s="30">
        <v>10</v>
      </c>
      <c r="F19" s="51">
        <f t="shared" si="0"/>
        <v>37</v>
      </c>
      <c r="G19" s="52">
        <f t="shared" si="1"/>
        <v>31.968000000000004</v>
      </c>
      <c r="H19" s="52">
        <f t="shared" si="2"/>
        <v>35.964000000000006</v>
      </c>
      <c r="I19" s="51">
        <v>39.96</v>
      </c>
      <c r="J19" s="53">
        <f t="shared" si="3"/>
        <v>25.974000000000004</v>
      </c>
      <c r="K19" s="128"/>
    </row>
    <row r="20" spans="1:11" s="31" customFormat="1" ht="13.9" customHeight="1" x14ac:dyDescent="0.25">
      <c r="A20" s="29">
        <v>18</v>
      </c>
      <c r="B20" s="32" t="s">
        <v>179</v>
      </c>
      <c r="C20" s="30" t="s">
        <v>30</v>
      </c>
      <c r="D20" s="30">
        <v>100</v>
      </c>
      <c r="E20" s="30">
        <v>10</v>
      </c>
      <c r="F20" s="51">
        <f t="shared" si="0"/>
        <v>46.999999999999993</v>
      </c>
      <c r="G20" s="52">
        <f t="shared" si="1"/>
        <v>40.607999999999997</v>
      </c>
      <c r="H20" s="52">
        <f t="shared" si="2"/>
        <v>45.683999999999997</v>
      </c>
      <c r="I20" s="51">
        <v>50.76</v>
      </c>
      <c r="J20" s="53">
        <f t="shared" si="3"/>
        <v>32.994</v>
      </c>
      <c r="K20" s="128"/>
    </row>
    <row r="21" spans="1:11" s="31" customFormat="1" ht="13.9" customHeight="1" x14ac:dyDescent="0.25">
      <c r="A21" s="29">
        <v>19</v>
      </c>
      <c r="B21" s="32" t="s">
        <v>180</v>
      </c>
      <c r="C21" s="30" t="s">
        <v>30</v>
      </c>
      <c r="D21" s="30">
        <v>100</v>
      </c>
      <c r="E21" s="30">
        <v>10</v>
      </c>
      <c r="F21" s="51">
        <f t="shared" si="0"/>
        <v>58.999999999999993</v>
      </c>
      <c r="G21" s="52">
        <f t="shared" si="1"/>
        <v>50.975999999999999</v>
      </c>
      <c r="H21" s="52">
        <f t="shared" si="2"/>
        <v>57.347999999999999</v>
      </c>
      <c r="I21" s="51">
        <v>63.72</v>
      </c>
      <c r="J21" s="53">
        <f t="shared" si="3"/>
        <v>41.417999999999999</v>
      </c>
      <c r="K21" s="128"/>
    </row>
    <row r="22" spans="1:11" s="31" customFormat="1" ht="13.9" customHeight="1" x14ac:dyDescent="0.25">
      <c r="A22" s="29">
        <v>20</v>
      </c>
      <c r="B22" s="32" t="s">
        <v>181</v>
      </c>
      <c r="C22" s="30" t="s">
        <v>30</v>
      </c>
      <c r="D22" s="30">
        <v>100</v>
      </c>
      <c r="E22" s="30">
        <v>10</v>
      </c>
      <c r="F22" s="51">
        <f t="shared" si="0"/>
        <v>48</v>
      </c>
      <c r="G22" s="52">
        <f t="shared" si="1"/>
        <v>41.472000000000008</v>
      </c>
      <c r="H22" s="52">
        <f t="shared" si="2"/>
        <v>46.656000000000006</v>
      </c>
      <c r="I22" s="51">
        <v>51.84</v>
      </c>
      <c r="J22" s="53">
        <f t="shared" si="3"/>
        <v>33.696000000000005</v>
      </c>
      <c r="K22" s="128"/>
    </row>
    <row r="23" spans="1:11" s="31" customFormat="1" ht="13.9" customHeight="1" x14ac:dyDescent="0.25">
      <c r="A23" s="29">
        <v>21</v>
      </c>
      <c r="B23" s="32" t="s">
        <v>182</v>
      </c>
      <c r="C23" s="30" t="s">
        <v>30</v>
      </c>
      <c r="D23" s="30">
        <v>100</v>
      </c>
      <c r="E23" s="30">
        <v>10</v>
      </c>
      <c r="F23" s="51">
        <f t="shared" si="0"/>
        <v>58</v>
      </c>
      <c r="G23" s="52">
        <f t="shared" si="1"/>
        <v>50.112000000000009</v>
      </c>
      <c r="H23" s="52">
        <f t="shared" si="2"/>
        <v>56.376000000000005</v>
      </c>
      <c r="I23" s="51">
        <v>62.64</v>
      </c>
      <c r="J23" s="53">
        <f t="shared" si="3"/>
        <v>40.716000000000008</v>
      </c>
      <c r="K23" s="128"/>
    </row>
    <row r="24" spans="1:11" s="31" customFormat="1" ht="13.9" customHeight="1" x14ac:dyDescent="0.25">
      <c r="A24" s="29">
        <v>22</v>
      </c>
      <c r="B24" s="32" t="s">
        <v>183</v>
      </c>
      <c r="C24" s="30" t="s">
        <v>30</v>
      </c>
      <c r="D24" s="30">
        <v>100</v>
      </c>
      <c r="E24" s="30">
        <v>10</v>
      </c>
      <c r="F24" s="51">
        <f t="shared" si="0"/>
        <v>68.999999999999986</v>
      </c>
      <c r="G24" s="52">
        <f t="shared" si="1"/>
        <v>59.615999999999993</v>
      </c>
      <c r="H24" s="52">
        <f t="shared" si="2"/>
        <v>67.067999999999984</v>
      </c>
      <c r="I24" s="51">
        <v>74.52</v>
      </c>
      <c r="J24" s="53">
        <f t="shared" si="3"/>
        <v>48.437999999999995</v>
      </c>
      <c r="K24" s="128"/>
    </row>
    <row r="25" spans="1:11" s="31" customFormat="1" ht="13.9" customHeight="1" x14ac:dyDescent="0.25">
      <c r="A25" s="29">
        <v>23</v>
      </c>
      <c r="B25" s="32" t="s">
        <v>184</v>
      </c>
      <c r="C25" s="30" t="s">
        <v>30</v>
      </c>
      <c r="D25" s="30">
        <v>100</v>
      </c>
      <c r="E25" s="30">
        <v>10</v>
      </c>
      <c r="F25" s="51">
        <f t="shared" si="0"/>
        <v>54.999999999999993</v>
      </c>
      <c r="G25" s="52">
        <f t="shared" si="1"/>
        <v>47.52</v>
      </c>
      <c r="H25" s="52">
        <f t="shared" si="2"/>
        <v>53.459999999999994</v>
      </c>
      <c r="I25" s="51">
        <v>59.4</v>
      </c>
      <c r="J25" s="53">
        <f t="shared" si="3"/>
        <v>38.61</v>
      </c>
      <c r="K25" s="128"/>
    </row>
    <row r="26" spans="1:11" s="31" customFormat="1" ht="13.9" customHeight="1" x14ac:dyDescent="0.25">
      <c r="A26" s="29">
        <v>24</v>
      </c>
      <c r="B26" s="32" t="s">
        <v>185</v>
      </c>
      <c r="C26" s="30" t="s">
        <v>30</v>
      </c>
      <c r="D26" s="30">
        <v>100</v>
      </c>
      <c r="E26" s="30">
        <v>10</v>
      </c>
      <c r="F26" s="51">
        <f t="shared" si="0"/>
        <v>60.999999999999993</v>
      </c>
      <c r="G26" s="52">
        <f t="shared" si="1"/>
        <v>52.704000000000001</v>
      </c>
      <c r="H26" s="52">
        <f t="shared" si="2"/>
        <v>59.291999999999994</v>
      </c>
      <c r="I26" s="51">
        <v>65.88</v>
      </c>
      <c r="J26" s="53">
        <f t="shared" si="3"/>
        <v>42.822000000000003</v>
      </c>
      <c r="K26" s="128"/>
    </row>
    <row r="27" spans="1:11" s="31" customFormat="1" ht="13.9" customHeight="1" x14ac:dyDescent="0.25">
      <c r="A27" s="29">
        <v>25</v>
      </c>
      <c r="B27" s="32" t="s">
        <v>186</v>
      </c>
      <c r="C27" s="30" t="s">
        <v>30</v>
      </c>
      <c r="D27" s="30">
        <v>100</v>
      </c>
      <c r="E27" s="30">
        <v>10</v>
      </c>
      <c r="F27" s="51">
        <f t="shared" si="0"/>
        <v>65</v>
      </c>
      <c r="G27" s="52">
        <f t="shared" si="1"/>
        <v>56.160000000000004</v>
      </c>
      <c r="H27" s="52">
        <f t="shared" si="2"/>
        <v>63.180000000000007</v>
      </c>
      <c r="I27" s="51">
        <v>70.2</v>
      </c>
      <c r="J27" s="53">
        <f t="shared" si="3"/>
        <v>45.63</v>
      </c>
      <c r="K27" s="128"/>
    </row>
    <row r="28" spans="1:11" s="31" customFormat="1" ht="13.9" customHeight="1" x14ac:dyDescent="0.25">
      <c r="A28" s="29">
        <v>26</v>
      </c>
      <c r="B28" s="32" t="s">
        <v>187</v>
      </c>
      <c r="C28" s="30" t="s">
        <v>30</v>
      </c>
      <c r="D28" s="30">
        <v>100</v>
      </c>
      <c r="E28" s="30">
        <v>10</v>
      </c>
      <c r="F28" s="51">
        <f t="shared" si="0"/>
        <v>65</v>
      </c>
      <c r="G28" s="52">
        <f t="shared" si="1"/>
        <v>56.160000000000004</v>
      </c>
      <c r="H28" s="52">
        <f t="shared" si="2"/>
        <v>63.180000000000007</v>
      </c>
      <c r="I28" s="51">
        <v>70.2</v>
      </c>
      <c r="J28" s="53">
        <f t="shared" si="3"/>
        <v>45.63</v>
      </c>
      <c r="K28" s="128"/>
    </row>
    <row r="29" spans="1:11" s="31" customFormat="1" ht="13.9" customHeight="1" x14ac:dyDescent="0.25">
      <c r="A29" s="29">
        <v>27</v>
      </c>
      <c r="B29" s="32" t="s">
        <v>188</v>
      </c>
      <c r="C29" s="30" t="s">
        <v>30</v>
      </c>
      <c r="D29" s="30">
        <v>100</v>
      </c>
      <c r="E29" s="30">
        <v>10</v>
      </c>
      <c r="F29" s="51">
        <f t="shared" si="0"/>
        <v>77.999999999999986</v>
      </c>
      <c r="G29" s="52">
        <f t="shared" si="1"/>
        <v>67.391999999999996</v>
      </c>
      <c r="H29" s="52">
        <f t="shared" si="2"/>
        <v>75.815999999999988</v>
      </c>
      <c r="I29" s="51">
        <v>84.24</v>
      </c>
      <c r="J29" s="53">
        <f t="shared" si="3"/>
        <v>54.756</v>
      </c>
      <c r="K29" s="128"/>
    </row>
    <row r="30" spans="1:11" s="31" customFormat="1" ht="13.9" customHeight="1" x14ac:dyDescent="0.25">
      <c r="A30" s="29">
        <v>28</v>
      </c>
      <c r="B30" s="32" t="s">
        <v>189</v>
      </c>
      <c r="C30" s="30" t="s">
        <v>30</v>
      </c>
      <c r="D30" s="30">
        <v>100</v>
      </c>
      <c r="E30" s="30">
        <v>10</v>
      </c>
      <c r="F30" s="51">
        <f t="shared" si="0"/>
        <v>45</v>
      </c>
      <c r="G30" s="52">
        <f t="shared" si="1"/>
        <v>38.880000000000003</v>
      </c>
      <c r="H30" s="52">
        <f t="shared" si="2"/>
        <v>43.74</v>
      </c>
      <c r="I30" s="51">
        <v>48.6</v>
      </c>
      <c r="J30" s="53">
        <f t="shared" si="3"/>
        <v>31.590000000000003</v>
      </c>
      <c r="K30" s="128"/>
    </row>
    <row r="31" spans="1:11" s="31" customFormat="1" ht="13.9" customHeight="1" x14ac:dyDescent="0.25">
      <c r="A31" s="29">
        <v>29</v>
      </c>
      <c r="B31" s="32" t="s">
        <v>190</v>
      </c>
      <c r="C31" s="30" t="s">
        <v>30</v>
      </c>
      <c r="D31" s="30">
        <v>100</v>
      </c>
      <c r="E31" s="30">
        <v>10</v>
      </c>
      <c r="F31" s="51">
        <f t="shared" si="0"/>
        <v>58</v>
      </c>
      <c r="G31" s="52">
        <f t="shared" si="1"/>
        <v>50.112000000000009</v>
      </c>
      <c r="H31" s="52">
        <f t="shared" si="2"/>
        <v>56.376000000000005</v>
      </c>
      <c r="I31" s="51">
        <v>62.64</v>
      </c>
      <c r="J31" s="53">
        <f t="shared" si="3"/>
        <v>40.716000000000008</v>
      </c>
      <c r="K31" s="128"/>
    </row>
    <row r="32" spans="1:11" s="31" customFormat="1" ht="13.9" customHeight="1" x14ac:dyDescent="0.25">
      <c r="A32" s="29">
        <v>30</v>
      </c>
      <c r="B32" s="32" t="s">
        <v>191</v>
      </c>
      <c r="C32" s="30" t="s">
        <v>30</v>
      </c>
      <c r="D32" s="30">
        <v>100</v>
      </c>
      <c r="E32" s="30">
        <v>10</v>
      </c>
      <c r="F32" s="51">
        <f t="shared" si="0"/>
        <v>58</v>
      </c>
      <c r="G32" s="52">
        <f t="shared" si="1"/>
        <v>50.112000000000009</v>
      </c>
      <c r="H32" s="52">
        <f t="shared" si="2"/>
        <v>56.376000000000005</v>
      </c>
      <c r="I32" s="51">
        <v>62.64</v>
      </c>
      <c r="J32" s="53">
        <f t="shared" si="3"/>
        <v>40.716000000000008</v>
      </c>
      <c r="K32" s="128"/>
    </row>
    <row r="33" spans="1:11" s="31" customFormat="1" ht="13.9" customHeight="1" x14ac:dyDescent="0.25">
      <c r="A33" s="29">
        <v>31</v>
      </c>
      <c r="B33" s="32" t="s">
        <v>192</v>
      </c>
      <c r="C33" s="30" t="s">
        <v>30</v>
      </c>
      <c r="D33" s="30">
        <v>100</v>
      </c>
      <c r="E33" s="30">
        <v>10</v>
      </c>
      <c r="F33" s="51">
        <f t="shared" si="0"/>
        <v>68.999999999999986</v>
      </c>
      <c r="G33" s="52">
        <f t="shared" si="1"/>
        <v>59.615999999999993</v>
      </c>
      <c r="H33" s="52">
        <f t="shared" si="2"/>
        <v>67.067999999999984</v>
      </c>
      <c r="I33" s="51">
        <v>74.52</v>
      </c>
      <c r="J33" s="53">
        <f t="shared" si="3"/>
        <v>48.437999999999995</v>
      </c>
      <c r="K33" s="128"/>
    </row>
    <row r="34" spans="1:11" s="31" customFormat="1" ht="13.9" customHeight="1" x14ac:dyDescent="0.25">
      <c r="A34" s="29">
        <v>32</v>
      </c>
      <c r="B34" s="32" t="s">
        <v>193</v>
      </c>
      <c r="C34" s="30" t="s">
        <v>30</v>
      </c>
      <c r="D34" s="30">
        <v>100</v>
      </c>
      <c r="E34" s="30">
        <v>10</v>
      </c>
      <c r="F34" s="51">
        <f t="shared" si="0"/>
        <v>51.999999999999993</v>
      </c>
      <c r="G34" s="52">
        <f t="shared" si="1"/>
        <v>44.927999999999997</v>
      </c>
      <c r="H34" s="52">
        <f t="shared" si="2"/>
        <v>50.543999999999997</v>
      </c>
      <c r="I34" s="51">
        <v>56.16</v>
      </c>
      <c r="J34" s="53">
        <f t="shared" si="3"/>
        <v>36.503999999999998</v>
      </c>
      <c r="K34" s="128"/>
    </row>
    <row r="35" spans="1:11" s="31" customFormat="1" ht="13.9" customHeight="1" x14ac:dyDescent="0.25">
      <c r="A35" s="29">
        <v>33</v>
      </c>
      <c r="B35" s="32" t="s">
        <v>194</v>
      </c>
      <c r="C35" s="30" t="s">
        <v>30</v>
      </c>
      <c r="D35" s="30">
        <v>100</v>
      </c>
      <c r="E35" s="30">
        <v>10</v>
      </c>
      <c r="F35" s="51">
        <f t="shared" si="0"/>
        <v>75</v>
      </c>
      <c r="G35" s="52">
        <f t="shared" si="1"/>
        <v>64.800000000000011</v>
      </c>
      <c r="H35" s="52">
        <f t="shared" si="2"/>
        <v>72.900000000000006</v>
      </c>
      <c r="I35" s="51">
        <v>81</v>
      </c>
      <c r="J35" s="53">
        <f t="shared" si="3"/>
        <v>52.650000000000006</v>
      </c>
      <c r="K35" s="128"/>
    </row>
    <row r="36" spans="1:11" s="31" customFormat="1" ht="13.9" customHeight="1" x14ac:dyDescent="0.25">
      <c r="A36" s="29">
        <v>34</v>
      </c>
      <c r="B36" s="32" t="s">
        <v>195</v>
      </c>
      <c r="C36" s="30" t="s">
        <v>30</v>
      </c>
      <c r="D36" s="30">
        <v>480</v>
      </c>
      <c r="E36" s="30">
        <v>48</v>
      </c>
      <c r="F36" s="51">
        <f t="shared" si="0"/>
        <v>12</v>
      </c>
      <c r="G36" s="52">
        <f t="shared" si="1"/>
        <v>10.368000000000002</v>
      </c>
      <c r="H36" s="52">
        <f t="shared" si="2"/>
        <v>11.664000000000001</v>
      </c>
      <c r="I36" s="51">
        <v>12.96</v>
      </c>
      <c r="J36" s="53">
        <f t="shared" si="3"/>
        <v>8.4240000000000013</v>
      </c>
      <c r="K36" s="128"/>
    </row>
    <row r="37" spans="1:11" s="31" customFormat="1" ht="13.9" customHeight="1" x14ac:dyDescent="0.25">
      <c r="A37" s="29">
        <v>35</v>
      </c>
      <c r="B37" s="32" t="s">
        <v>196</v>
      </c>
      <c r="C37" s="30" t="s">
        <v>30</v>
      </c>
      <c r="D37" s="30">
        <v>480</v>
      </c>
      <c r="E37" s="30">
        <v>48</v>
      </c>
      <c r="F37" s="51">
        <f t="shared" si="0"/>
        <v>25</v>
      </c>
      <c r="G37" s="52">
        <f t="shared" si="1"/>
        <v>21.6</v>
      </c>
      <c r="H37" s="52">
        <f t="shared" si="2"/>
        <v>24.3</v>
      </c>
      <c r="I37" s="51">
        <v>27</v>
      </c>
      <c r="J37" s="53">
        <f t="shared" si="3"/>
        <v>17.55</v>
      </c>
      <c r="K37" s="128"/>
    </row>
    <row r="38" spans="1:11" s="31" customFormat="1" ht="13.9" customHeight="1" x14ac:dyDescent="0.25">
      <c r="A38" s="29">
        <v>36</v>
      </c>
      <c r="B38" s="32" t="s">
        <v>197</v>
      </c>
      <c r="C38" s="30" t="s">
        <v>30</v>
      </c>
      <c r="D38" s="30">
        <v>480</v>
      </c>
      <c r="E38" s="30">
        <v>48</v>
      </c>
      <c r="F38" s="51">
        <f t="shared" si="0"/>
        <v>30.999999999999996</v>
      </c>
      <c r="G38" s="52">
        <f t="shared" si="1"/>
        <v>26.783999999999999</v>
      </c>
      <c r="H38" s="52">
        <f t="shared" si="2"/>
        <v>30.132000000000001</v>
      </c>
      <c r="I38" s="51">
        <v>33.479999999999997</v>
      </c>
      <c r="J38" s="53">
        <f t="shared" si="3"/>
        <v>21.762</v>
      </c>
      <c r="K38" s="128"/>
    </row>
    <row r="39" spans="1:11" s="31" customFormat="1" ht="13.9" customHeight="1" x14ac:dyDescent="0.25">
      <c r="A39" s="29">
        <v>37</v>
      </c>
      <c r="B39" s="32" t="s">
        <v>198</v>
      </c>
      <c r="C39" s="30" t="s">
        <v>30</v>
      </c>
      <c r="D39" s="30">
        <v>480</v>
      </c>
      <c r="E39" s="30">
        <v>48</v>
      </c>
      <c r="F39" s="51">
        <f t="shared" si="0"/>
        <v>40</v>
      </c>
      <c r="G39" s="52">
        <f t="shared" si="1"/>
        <v>34.56</v>
      </c>
      <c r="H39" s="52">
        <f t="shared" si="2"/>
        <v>38.880000000000003</v>
      </c>
      <c r="I39" s="51">
        <v>43.2</v>
      </c>
      <c r="J39" s="53">
        <f t="shared" si="3"/>
        <v>28.080000000000002</v>
      </c>
      <c r="K39" s="128"/>
    </row>
    <row r="40" spans="1:11" s="31" customFormat="1" ht="13.9" customHeight="1" x14ac:dyDescent="0.25">
      <c r="A40" s="29">
        <v>38</v>
      </c>
      <c r="B40" s="32" t="s">
        <v>199</v>
      </c>
      <c r="C40" s="30" t="s">
        <v>30</v>
      </c>
      <c r="D40" s="30">
        <v>480</v>
      </c>
      <c r="E40" s="30">
        <v>48</v>
      </c>
      <c r="F40" s="51">
        <f t="shared" si="0"/>
        <v>23</v>
      </c>
      <c r="G40" s="52">
        <f t="shared" si="1"/>
        <v>19.872000000000003</v>
      </c>
      <c r="H40" s="52">
        <f t="shared" si="2"/>
        <v>22.356000000000002</v>
      </c>
      <c r="I40" s="51">
        <v>24.84</v>
      </c>
      <c r="J40" s="53">
        <f t="shared" si="3"/>
        <v>16.146000000000001</v>
      </c>
      <c r="K40" s="128"/>
    </row>
    <row r="41" spans="1:11" s="31" customFormat="1" ht="13.9" customHeight="1" x14ac:dyDescent="0.25">
      <c r="A41" s="29">
        <v>39</v>
      </c>
      <c r="B41" s="32" t="s">
        <v>200</v>
      </c>
      <c r="C41" s="30" t="s">
        <v>30</v>
      </c>
      <c r="D41" s="30">
        <v>480</v>
      </c>
      <c r="E41" s="30">
        <v>48</v>
      </c>
      <c r="F41" s="51">
        <f t="shared" si="0"/>
        <v>38.999999999999993</v>
      </c>
      <c r="G41" s="52">
        <f t="shared" si="1"/>
        <v>33.695999999999998</v>
      </c>
      <c r="H41" s="52">
        <f t="shared" si="2"/>
        <v>37.907999999999994</v>
      </c>
      <c r="I41" s="51">
        <v>42.12</v>
      </c>
      <c r="J41" s="53">
        <f t="shared" si="3"/>
        <v>27.378</v>
      </c>
      <c r="K41" s="128"/>
    </row>
    <row r="42" spans="1:11" s="31" customFormat="1" ht="13.9" customHeight="1" x14ac:dyDescent="0.25">
      <c r="A42" s="29">
        <v>40</v>
      </c>
      <c r="B42" s="32" t="s">
        <v>201</v>
      </c>
      <c r="C42" s="30" t="s">
        <v>30</v>
      </c>
      <c r="D42" s="30">
        <v>420</v>
      </c>
      <c r="E42" s="30">
        <v>32</v>
      </c>
      <c r="F42" s="51">
        <f t="shared" si="0"/>
        <v>33</v>
      </c>
      <c r="G42" s="52">
        <f t="shared" si="1"/>
        <v>28.512000000000004</v>
      </c>
      <c r="H42" s="52">
        <f t="shared" si="2"/>
        <v>32.076000000000001</v>
      </c>
      <c r="I42" s="51">
        <v>35.64</v>
      </c>
      <c r="J42" s="53">
        <f t="shared" si="3"/>
        <v>23.166</v>
      </c>
      <c r="K42" s="128"/>
    </row>
    <row r="43" spans="1:11" s="31" customFormat="1" ht="13.9" customHeight="1" x14ac:dyDescent="0.25">
      <c r="A43" s="29">
        <v>41</v>
      </c>
      <c r="B43" s="32" t="s">
        <v>202</v>
      </c>
      <c r="C43" s="30" t="s">
        <v>30</v>
      </c>
      <c r="D43" s="30">
        <v>200</v>
      </c>
      <c r="E43" s="30">
        <v>20</v>
      </c>
      <c r="F43" s="51">
        <f t="shared" si="0"/>
        <v>58</v>
      </c>
      <c r="G43" s="52">
        <f t="shared" si="1"/>
        <v>50.112000000000009</v>
      </c>
      <c r="H43" s="52">
        <f t="shared" si="2"/>
        <v>56.376000000000005</v>
      </c>
      <c r="I43" s="51">
        <v>62.64</v>
      </c>
      <c r="J43" s="53">
        <f t="shared" si="3"/>
        <v>40.716000000000008</v>
      </c>
      <c r="K43" s="128"/>
    </row>
    <row r="44" spans="1:11" s="31" customFormat="1" ht="13.9" customHeight="1" x14ac:dyDescent="0.25">
      <c r="A44" s="29">
        <v>42</v>
      </c>
      <c r="B44" s="32" t="s">
        <v>203</v>
      </c>
      <c r="C44" s="30" t="s">
        <v>30</v>
      </c>
      <c r="D44" s="30">
        <v>200</v>
      </c>
      <c r="E44" s="30">
        <v>20</v>
      </c>
      <c r="F44" s="51">
        <f t="shared" si="0"/>
        <v>13.999999999999998</v>
      </c>
      <c r="G44" s="52">
        <f t="shared" si="1"/>
        <v>12.096</v>
      </c>
      <c r="H44" s="52">
        <f t="shared" si="2"/>
        <v>13.607999999999999</v>
      </c>
      <c r="I44" s="51">
        <v>15.12</v>
      </c>
      <c r="J44" s="53">
        <f t="shared" si="3"/>
        <v>9.8279999999999994</v>
      </c>
      <c r="K44" s="128"/>
    </row>
    <row r="45" spans="1:11" s="31" customFormat="1" ht="13.9" customHeight="1" x14ac:dyDescent="0.25">
      <c r="A45" s="29">
        <v>43</v>
      </c>
      <c r="B45" s="32" t="s">
        <v>204</v>
      </c>
      <c r="C45" s="30" t="s">
        <v>30</v>
      </c>
      <c r="D45" s="30">
        <v>200</v>
      </c>
      <c r="E45" s="30">
        <v>20</v>
      </c>
      <c r="F45" s="51">
        <f t="shared" si="0"/>
        <v>13.999999999999998</v>
      </c>
      <c r="G45" s="52">
        <f t="shared" si="1"/>
        <v>12.096</v>
      </c>
      <c r="H45" s="52">
        <f t="shared" si="2"/>
        <v>13.607999999999999</v>
      </c>
      <c r="I45" s="51">
        <v>15.12</v>
      </c>
      <c r="J45" s="53">
        <f t="shared" si="3"/>
        <v>9.8279999999999994</v>
      </c>
      <c r="K45" s="128"/>
    </row>
    <row r="46" spans="1:11" s="31" customFormat="1" ht="13.9" customHeight="1" x14ac:dyDescent="0.25">
      <c r="A46" s="29">
        <v>44</v>
      </c>
      <c r="B46" s="32" t="s">
        <v>205</v>
      </c>
      <c r="C46" s="30" t="s">
        <v>30</v>
      </c>
      <c r="D46" s="30">
        <v>200</v>
      </c>
      <c r="E46" s="30">
        <v>20</v>
      </c>
      <c r="F46" s="51">
        <f t="shared" si="0"/>
        <v>13.999999999999998</v>
      </c>
      <c r="G46" s="52">
        <f t="shared" si="1"/>
        <v>12.096</v>
      </c>
      <c r="H46" s="52">
        <f t="shared" si="2"/>
        <v>13.607999999999999</v>
      </c>
      <c r="I46" s="51">
        <v>15.12</v>
      </c>
      <c r="J46" s="53">
        <f t="shared" si="3"/>
        <v>9.8279999999999994</v>
      </c>
      <c r="K46" s="128"/>
    </row>
    <row r="47" spans="1:11" s="31" customFormat="1" ht="13.9" customHeight="1" x14ac:dyDescent="0.25">
      <c r="A47" s="29">
        <v>45</v>
      </c>
      <c r="B47" s="32" t="s">
        <v>206</v>
      </c>
      <c r="C47" s="30" t="s">
        <v>30</v>
      </c>
      <c r="D47" s="30">
        <v>200</v>
      </c>
      <c r="E47" s="30">
        <v>20</v>
      </c>
      <c r="F47" s="51">
        <f t="shared" si="0"/>
        <v>13.999999999999998</v>
      </c>
      <c r="G47" s="52">
        <f t="shared" si="1"/>
        <v>12.096</v>
      </c>
      <c r="H47" s="52">
        <f t="shared" si="2"/>
        <v>13.607999999999999</v>
      </c>
      <c r="I47" s="51">
        <v>15.12</v>
      </c>
      <c r="J47" s="53">
        <f t="shared" si="3"/>
        <v>9.8279999999999994</v>
      </c>
      <c r="K47" s="128"/>
    </row>
    <row r="48" spans="1:11" s="31" customFormat="1" ht="13.9" customHeight="1" x14ac:dyDescent="0.25">
      <c r="A48" s="29">
        <v>46</v>
      </c>
      <c r="B48" s="32" t="s">
        <v>207</v>
      </c>
      <c r="C48" s="30" t="s">
        <v>30</v>
      </c>
      <c r="D48" s="30">
        <v>300</v>
      </c>
      <c r="E48" s="30">
        <v>300</v>
      </c>
      <c r="F48" s="51">
        <f t="shared" si="0"/>
        <v>8</v>
      </c>
      <c r="G48" s="52">
        <f t="shared" si="1"/>
        <v>6.9120000000000008</v>
      </c>
      <c r="H48" s="52">
        <f t="shared" si="2"/>
        <v>7.7760000000000007</v>
      </c>
      <c r="I48" s="51">
        <v>8.64</v>
      </c>
      <c r="J48" s="53">
        <f t="shared" si="3"/>
        <v>5.6160000000000005</v>
      </c>
      <c r="K48" s="128"/>
    </row>
    <row r="49" spans="1:11" s="31" customFormat="1" ht="13.9" customHeight="1" x14ac:dyDescent="0.25">
      <c r="A49" s="29">
        <v>47</v>
      </c>
      <c r="B49" s="32" t="s">
        <v>208</v>
      </c>
      <c r="C49" s="30" t="s">
        <v>30</v>
      </c>
      <c r="D49" s="30">
        <v>300</v>
      </c>
      <c r="E49" s="30">
        <v>300</v>
      </c>
      <c r="F49" s="51">
        <f t="shared" si="0"/>
        <v>6</v>
      </c>
      <c r="G49" s="52">
        <f t="shared" si="1"/>
        <v>5.1840000000000011</v>
      </c>
      <c r="H49" s="52">
        <f t="shared" si="2"/>
        <v>5.8320000000000007</v>
      </c>
      <c r="I49" s="51">
        <v>6.48</v>
      </c>
      <c r="J49" s="53">
        <f t="shared" si="3"/>
        <v>4.2120000000000006</v>
      </c>
      <c r="K49" s="128"/>
    </row>
    <row r="50" spans="1:11" s="31" customFormat="1" ht="13.9" customHeight="1" x14ac:dyDescent="0.25">
      <c r="A50" s="29">
        <v>48</v>
      </c>
      <c r="B50" s="32" t="s">
        <v>209</v>
      </c>
      <c r="C50" s="30" t="s">
        <v>30</v>
      </c>
      <c r="D50" s="30">
        <v>200</v>
      </c>
      <c r="E50" s="30">
        <v>300</v>
      </c>
      <c r="F50" s="51">
        <f t="shared" si="0"/>
        <v>9</v>
      </c>
      <c r="G50" s="52">
        <f t="shared" si="1"/>
        <v>7.7760000000000007</v>
      </c>
      <c r="H50" s="52">
        <f t="shared" si="2"/>
        <v>8.7479999999999993</v>
      </c>
      <c r="I50" s="51">
        <v>9.7200000000000006</v>
      </c>
      <c r="J50" s="53">
        <f t="shared" si="3"/>
        <v>6.3180000000000014</v>
      </c>
      <c r="K50" s="128"/>
    </row>
    <row r="51" spans="1:11" s="31" customFormat="1" ht="13.9" customHeight="1" x14ac:dyDescent="0.25">
      <c r="A51" s="29">
        <v>49</v>
      </c>
      <c r="B51" s="32" t="s">
        <v>210</v>
      </c>
      <c r="C51" s="30" t="s">
        <v>30</v>
      </c>
      <c r="D51" s="30">
        <v>300</v>
      </c>
      <c r="E51" s="30">
        <v>300</v>
      </c>
      <c r="F51" s="51">
        <f t="shared" si="0"/>
        <v>11</v>
      </c>
      <c r="G51" s="52">
        <f t="shared" si="1"/>
        <v>9.5040000000000013</v>
      </c>
      <c r="H51" s="52">
        <f t="shared" si="2"/>
        <v>10.692000000000002</v>
      </c>
      <c r="I51" s="51">
        <v>11.88</v>
      </c>
      <c r="J51" s="53">
        <f t="shared" si="3"/>
        <v>7.7220000000000013</v>
      </c>
      <c r="K51" s="128"/>
    </row>
  </sheetData>
  <mergeCells count="7">
    <mergeCell ref="K1:K2"/>
    <mergeCell ref="E1:E2"/>
    <mergeCell ref="K3:K51"/>
    <mergeCell ref="A1:B2"/>
    <mergeCell ref="C1:C2"/>
    <mergeCell ref="D1:D2"/>
    <mergeCell ref="F1:F2"/>
  </mergeCells>
  <pageMargins left="0.7" right="0.7" top="0.75" bottom="0.75" header="0.3" footer="0.3"/>
  <pageSetup scale="54" orientation="portrait" horizontalDpi="90" verticalDpi="9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9ADE-A1F3-4366-9B1D-B31E819A13DF}">
  <dimension ref="A1:H30"/>
  <sheetViews>
    <sheetView view="pageBreakPreview" zoomScale="70" zoomScaleNormal="100" zoomScaleSheetLayoutView="70" workbookViewId="0">
      <selection activeCell="D10" sqref="D10"/>
    </sheetView>
  </sheetViews>
  <sheetFormatPr defaultRowHeight="15" x14ac:dyDescent="0.25"/>
  <cols>
    <col min="1" max="1" width="8.7109375" style="54"/>
    <col min="2" max="2" width="87.5703125" customWidth="1"/>
    <col min="4" max="4" width="19.42578125" customWidth="1"/>
    <col min="5" max="5" width="22.85546875" customWidth="1"/>
    <col min="6" max="6" width="17.85546875" customWidth="1"/>
    <col min="7" max="7" width="20.5703125" customWidth="1"/>
    <col min="8" max="8" width="17" customWidth="1"/>
  </cols>
  <sheetData>
    <row r="1" spans="1:8" ht="47.25" x14ac:dyDescent="0.25">
      <c r="A1" s="60" t="s">
        <v>358</v>
      </c>
      <c r="B1" s="61" t="s">
        <v>359</v>
      </c>
      <c r="C1" s="62" t="s">
        <v>360</v>
      </c>
      <c r="D1" s="63" t="s">
        <v>361</v>
      </c>
      <c r="E1" s="64" t="s">
        <v>362</v>
      </c>
      <c r="F1" s="64" t="s">
        <v>363</v>
      </c>
      <c r="G1" s="64" t="s">
        <v>364</v>
      </c>
      <c r="H1" s="65" t="s">
        <v>393</v>
      </c>
    </row>
    <row r="2" spans="1:8" ht="16.5" x14ac:dyDescent="0.25">
      <c r="A2" s="66"/>
      <c r="B2" s="56" t="s">
        <v>365</v>
      </c>
      <c r="C2" s="57"/>
      <c r="D2" s="58">
        <v>1</v>
      </c>
      <c r="E2" s="58">
        <v>0</v>
      </c>
      <c r="F2" s="55">
        <v>0.1</v>
      </c>
      <c r="G2" s="55">
        <v>0.2</v>
      </c>
      <c r="H2" s="67">
        <v>0.35</v>
      </c>
    </row>
    <row r="3" spans="1:8" ht="30" x14ac:dyDescent="0.25">
      <c r="A3" s="68">
        <v>1</v>
      </c>
      <c r="B3" s="59" t="s">
        <v>366</v>
      </c>
      <c r="C3" s="12" t="s">
        <v>30</v>
      </c>
      <c r="D3" s="72">
        <v>1460000</v>
      </c>
      <c r="E3" s="72">
        <f>(D3*1)*1.08</f>
        <v>1576800</v>
      </c>
      <c r="F3" s="74">
        <f>(D3*(1-0.1))*1.08</f>
        <v>1419120</v>
      </c>
      <c r="G3" s="74">
        <f>(D3*(1-0.2))*1.08</f>
        <v>1261440</v>
      </c>
      <c r="H3" s="75">
        <f>(D3*(1-0.35))*1.08</f>
        <v>1024920.0000000001</v>
      </c>
    </row>
    <row r="4" spans="1:8" ht="30" x14ac:dyDescent="0.25">
      <c r="A4" s="68">
        <v>2</v>
      </c>
      <c r="B4" s="59" t="s">
        <v>367</v>
      </c>
      <c r="C4" s="12" t="s">
        <v>30</v>
      </c>
      <c r="D4" s="72">
        <v>2500000</v>
      </c>
      <c r="E4" s="72">
        <f t="shared" ref="E4:E29" si="0">(D4*1)*1.08</f>
        <v>2700000</v>
      </c>
      <c r="F4" s="74">
        <f t="shared" ref="F4:F29" si="1">(D4*(1-0.1))*1.08</f>
        <v>2430000</v>
      </c>
      <c r="G4" s="74">
        <f t="shared" ref="G4:G29" si="2">(D4*(1-0.2))*1.08</f>
        <v>2160000</v>
      </c>
      <c r="H4" s="75">
        <f t="shared" ref="H4:H29" si="3">(D4*(1-0.35))*1.08</f>
        <v>1755000</v>
      </c>
    </row>
    <row r="5" spans="1:8" ht="30" x14ac:dyDescent="0.25">
      <c r="A5" s="68">
        <v>3</v>
      </c>
      <c r="B5" s="59" t="s">
        <v>368</v>
      </c>
      <c r="C5" s="12" t="s">
        <v>30</v>
      </c>
      <c r="D5" s="72">
        <v>14500000</v>
      </c>
      <c r="E5" s="72">
        <f t="shared" si="0"/>
        <v>15660000.000000002</v>
      </c>
      <c r="F5" s="74">
        <f t="shared" si="1"/>
        <v>14094000</v>
      </c>
      <c r="G5" s="74">
        <f t="shared" si="2"/>
        <v>12528000</v>
      </c>
      <c r="H5" s="75">
        <f t="shared" si="3"/>
        <v>10179000</v>
      </c>
    </row>
    <row r="6" spans="1:8" ht="30" x14ac:dyDescent="0.25">
      <c r="A6" s="68">
        <v>4</v>
      </c>
      <c r="B6" s="59" t="s">
        <v>369</v>
      </c>
      <c r="C6" s="12" t="s">
        <v>30</v>
      </c>
      <c r="D6" s="72">
        <v>550000</v>
      </c>
      <c r="E6" s="72">
        <f t="shared" si="0"/>
        <v>594000</v>
      </c>
      <c r="F6" s="74">
        <f t="shared" si="1"/>
        <v>534600</v>
      </c>
      <c r="G6" s="74">
        <f t="shared" si="2"/>
        <v>475200.00000000006</v>
      </c>
      <c r="H6" s="75">
        <f t="shared" si="3"/>
        <v>386100</v>
      </c>
    </row>
    <row r="7" spans="1:8" ht="30" x14ac:dyDescent="0.25">
      <c r="A7" s="68">
        <v>5</v>
      </c>
      <c r="B7" s="59" t="s">
        <v>370</v>
      </c>
      <c r="C7" s="12" t="s">
        <v>30</v>
      </c>
      <c r="D7" s="72">
        <v>1900000</v>
      </c>
      <c r="E7" s="72">
        <f t="shared" si="0"/>
        <v>2052000.0000000002</v>
      </c>
      <c r="F7" s="74">
        <f t="shared" si="1"/>
        <v>1846800.0000000002</v>
      </c>
      <c r="G7" s="74">
        <f t="shared" si="2"/>
        <v>1641600</v>
      </c>
      <c r="H7" s="75">
        <f t="shared" si="3"/>
        <v>1333800</v>
      </c>
    </row>
    <row r="8" spans="1:8" x14ac:dyDescent="0.25">
      <c r="A8" s="68">
        <v>6</v>
      </c>
      <c r="B8" s="59" t="s">
        <v>371</v>
      </c>
      <c r="C8" s="12" t="s">
        <v>30</v>
      </c>
      <c r="D8" s="72">
        <v>550000</v>
      </c>
      <c r="E8" s="72">
        <f t="shared" si="0"/>
        <v>594000</v>
      </c>
      <c r="F8" s="74">
        <f t="shared" si="1"/>
        <v>534600</v>
      </c>
      <c r="G8" s="74">
        <f t="shared" si="2"/>
        <v>475200.00000000006</v>
      </c>
      <c r="H8" s="75">
        <f t="shared" si="3"/>
        <v>386100</v>
      </c>
    </row>
    <row r="9" spans="1:8" x14ac:dyDescent="0.25">
      <c r="A9" s="68">
        <v>7</v>
      </c>
      <c r="B9" s="59" t="s">
        <v>372</v>
      </c>
      <c r="C9" s="12" t="s">
        <v>30</v>
      </c>
      <c r="D9" s="72">
        <v>850000</v>
      </c>
      <c r="E9" s="72">
        <f t="shared" si="0"/>
        <v>918000.00000000012</v>
      </c>
      <c r="F9" s="74">
        <f t="shared" si="1"/>
        <v>826200</v>
      </c>
      <c r="G9" s="74">
        <f t="shared" si="2"/>
        <v>734400</v>
      </c>
      <c r="H9" s="75">
        <f t="shared" si="3"/>
        <v>596700</v>
      </c>
    </row>
    <row r="10" spans="1:8" x14ac:dyDescent="0.25">
      <c r="A10" s="68">
        <v>8</v>
      </c>
      <c r="B10" s="59" t="s">
        <v>373</v>
      </c>
      <c r="C10" s="12" t="s">
        <v>30</v>
      </c>
      <c r="D10" s="72">
        <v>500000</v>
      </c>
      <c r="E10" s="72">
        <f t="shared" si="0"/>
        <v>540000</v>
      </c>
      <c r="F10" s="74">
        <f t="shared" si="1"/>
        <v>486000.00000000006</v>
      </c>
      <c r="G10" s="74">
        <f t="shared" si="2"/>
        <v>432000</v>
      </c>
      <c r="H10" s="75">
        <f t="shared" si="3"/>
        <v>351000</v>
      </c>
    </row>
    <row r="11" spans="1:8" x14ac:dyDescent="0.25">
      <c r="A11" s="68">
        <v>14</v>
      </c>
      <c r="B11" s="59" t="s">
        <v>374</v>
      </c>
      <c r="C11" s="12" t="s">
        <v>30</v>
      </c>
      <c r="D11" s="72">
        <v>85000</v>
      </c>
      <c r="E11" s="72">
        <f t="shared" si="0"/>
        <v>91800</v>
      </c>
      <c r="F11" s="74">
        <f t="shared" si="1"/>
        <v>82620</v>
      </c>
      <c r="G11" s="74">
        <f t="shared" si="2"/>
        <v>73440</v>
      </c>
      <c r="H11" s="75">
        <f t="shared" si="3"/>
        <v>59670.000000000007</v>
      </c>
    </row>
    <row r="12" spans="1:8" x14ac:dyDescent="0.25">
      <c r="A12" s="68">
        <v>15</v>
      </c>
      <c r="B12" s="59" t="s">
        <v>375</v>
      </c>
      <c r="C12" s="12" t="s">
        <v>30</v>
      </c>
      <c r="D12" s="72">
        <v>87000</v>
      </c>
      <c r="E12" s="72">
        <f t="shared" si="0"/>
        <v>93960</v>
      </c>
      <c r="F12" s="74">
        <f t="shared" si="1"/>
        <v>84564</v>
      </c>
      <c r="G12" s="74">
        <f t="shared" si="2"/>
        <v>75168</v>
      </c>
      <c r="H12" s="75">
        <f t="shared" si="3"/>
        <v>61074.000000000007</v>
      </c>
    </row>
    <row r="13" spans="1:8" x14ac:dyDescent="0.25">
      <c r="A13" s="68">
        <v>16</v>
      </c>
      <c r="B13" s="59" t="s">
        <v>376</v>
      </c>
      <c r="C13" s="12" t="s">
        <v>30</v>
      </c>
      <c r="D13" s="72">
        <v>105000</v>
      </c>
      <c r="E13" s="72">
        <f t="shared" si="0"/>
        <v>113400.00000000001</v>
      </c>
      <c r="F13" s="74">
        <f t="shared" si="1"/>
        <v>102060</v>
      </c>
      <c r="G13" s="74">
        <f t="shared" si="2"/>
        <v>90720</v>
      </c>
      <c r="H13" s="75">
        <f t="shared" si="3"/>
        <v>73710</v>
      </c>
    </row>
    <row r="14" spans="1:8" x14ac:dyDescent="0.25">
      <c r="A14" s="68">
        <v>17</v>
      </c>
      <c r="B14" s="59" t="s">
        <v>377</v>
      </c>
      <c r="C14" s="12" t="s">
        <v>30</v>
      </c>
      <c r="D14" s="72">
        <v>110000</v>
      </c>
      <c r="E14" s="72">
        <f t="shared" si="0"/>
        <v>118800.00000000001</v>
      </c>
      <c r="F14" s="74">
        <f t="shared" si="1"/>
        <v>106920</v>
      </c>
      <c r="G14" s="74">
        <f t="shared" si="2"/>
        <v>95040</v>
      </c>
      <c r="H14" s="75">
        <f t="shared" si="3"/>
        <v>77220</v>
      </c>
    </row>
    <row r="15" spans="1:8" x14ac:dyDescent="0.25">
      <c r="A15" s="68">
        <v>18</v>
      </c>
      <c r="B15" s="59" t="s">
        <v>378</v>
      </c>
      <c r="C15" s="12" t="s">
        <v>30</v>
      </c>
      <c r="D15" s="72">
        <v>1000000</v>
      </c>
      <c r="E15" s="72">
        <f t="shared" si="0"/>
        <v>1080000</v>
      </c>
      <c r="F15" s="74">
        <f t="shared" si="1"/>
        <v>972000.00000000012</v>
      </c>
      <c r="G15" s="74">
        <f t="shared" si="2"/>
        <v>864000</v>
      </c>
      <c r="H15" s="75">
        <f t="shared" si="3"/>
        <v>702000</v>
      </c>
    </row>
    <row r="16" spans="1:8" x14ac:dyDescent="0.25">
      <c r="A16" s="68">
        <v>19</v>
      </c>
      <c r="B16" s="59" t="s">
        <v>379</v>
      </c>
      <c r="C16" s="12" t="s">
        <v>30</v>
      </c>
      <c r="D16" s="72">
        <v>110000</v>
      </c>
      <c r="E16" s="72">
        <f t="shared" si="0"/>
        <v>118800.00000000001</v>
      </c>
      <c r="F16" s="74">
        <f t="shared" si="1"/>
        <v>106920</v>
      </c>
      <c r="G16" s="74">
        <f t="shared" si="2"/>
        <v>95040</v>
      </c>
      <c r="H16" s="75">
        <f t="shared" si="3"/>
        <v>77220</v>
      </c>
    </row>
    <row r="17" spans="1:8" x14ac:dyDescent="0.25">
      <c r="A17" s="68">
        <v>20</v>
      </c>
      <c r="B17" s="59" t="s">
        <v>380</v>
      </c>
      <c r="C17" s="12" t="s">
        <v>1</v>
      </c>
      <c r="D17" s="72">
        <v>115000</v>
      </c>
      <c r="E17" s="72">
        <f t="shared" si="0"/>
        <v>124200.00000000001</v>
      </c>
      <c r="F17" s="74">
        <f t="shared" si="1"/>
        <v>111780.00000000001</v>
      </c>
      <c r="G17" s="74">
        <f t="shared" si="2"/>
        <v>99360</v>
      </c>
      <c r="H17" s="75">
        <f t="shared" si="3"/>
        <v>80730</v>
      </c>
    </row>
    <row r="18" spans="1:8" x14ac:dyDescent="0.25">
      <c r="A18" s="68">
        <v>21</v>
      </c>
      <c r="B18" s="59" t="s">
        <v>381</v>
      </c>
      <c r="C18" s="12" t="s">
        <v>1</v>
      </c>
      <c r="D18" s="72">
        <v>110000</v>
      </c>
      <c r="E18" s="72">
        <f t="shared" si="0"/>
        <v>118800.00000000001</v>
      </c>
      <c r="F18" s="74">
        <f t="shared" si="1"/>
        <v>106920</v>
      </c>
      <c r="G18" s="74">
        <f t="shared" si="2"/>
        <v>95040</v>
      </c>
      <c r="H18" s="75">
        <f t="shared" si="3"/>
        <v>77220</v>
      </c>
    </row>
    <row r="19" spans="1:8" x14ac:dyDescent="0.25">
      <c r="A19" s="68">
        <v>22</v>
      </c>
      <c r="B19" s="59" t="s">
        <v>382</v>
      </c>
      <c r="C19" s="12" t="s">
        <v>30</v>
      </c>
      <c r="D19" s="72">
        <v>120000</v>
      </c>
      <c r="E19" s="72">
        <f t="shared" si="0"/>
        <v>129600.00000000001</v>
      </c>
      <c r="F19" s="74">
        <f t="shared" si="1"/>
        <v>116640.00000000001</v>
      </c>
      <c r="G19" s="74">
        <f t="shared" si="2"/>
        <v>103680</v>
      </c>
      <c r="H19" s="75">
        <f t="shared" si="3"/>
        <v>84240</v>
      </c>
    </row>
    <row r="20" spans="1:8" x14ac:dyDescent="0.25">
      <c r="A20" s="68">
        <v>23</v>
      </c>
      <c r="B20" s="59" t="s">
        <v>383</v>
      </c>
      <c r="C20" s="12" t="s">
        <v>30</v>
      </c>
      <c r="D20" s="72">
        <v>48000</v>
      </c>
      <c r="E20" s="72">
        <f t="shared" si="0"/>
        <v>51840</v>
      </c>
      <c r="F20" s="74">
        <f t="shared" si="1"/>
        <v>46656</v>
      </c>
      <c r="G20" s="74">
        <f t="shared" si="2"/>
        <v>41472</v>
      </c>
      <c r="H20" s="75">
        <f t="shared" si="3"/>
        <v>33696</v>
      </c>
    </row>
    <row r="21" spans="1:8" x14ac:dyDescent="0.25">
      <c r="A21" s="68">
        <v>24</v>
      </c>
      <c r="B21" s="59" t="s">
        <v>384</v>
      </c>
      <c r="C21" s="12" t="s">
        <v>30</v>
      </c>
      <c r="D21" s="72">
        <v>55000</v>
      </c>
      <c r="E21" s="72">
        <f t="shared" si="0"/>
        <v>59400.000000000007</v>
      </c>
      <c r="F21" s="74">
        <f t="shared" si="1"/>
        <v>53460</v>
      </c>
      <c r="G21" s="74">
        <f t="shared" si="2"/>
        <v>47520</v>
      </c>
      <c r="H21" s="75">
        <f t="shared" si="3"/>
        <v>38610</v>
      </c>
    </row>
    <row r="22" spans="1:8" x14ac:dyDescent="0.25">
      <c r="A22" s="68">
        <v>25</v>
      </c>
      <c r="B22" s="59" t="s">
        <v>385</v>
      </c>
      <c r="C22" s="12" t="s">
        <v>30</v>
      </c>
      <c r="D22" s="72">
        <v>63000</v>
      </c>
      <c r="E22" s="72">
        <f t="shared" si="0"/>
        <v>68040</v>
      </c>
      <c r="F22" s="74">
        <f t="shared" si="1"/>
        <v>61236.000000000007</v>
      </c>
      <c r="G22" s="74">
        <f t="shared" si="2"/>
        <v>54432</v>
      </c>
      <c r="H22" s="75">
        <f t="shared" si="3"/>
        <v>44226</v>
      </c>
    </row>
    <row r="23" spans="1:8" x14ac:dyDescent="0.25">
      <c r="A23" s="68">
        <v>26</v>
      </c>
      <c r="B23" s="59" t="s">
        <v>386</v>
      </c>
      <c r="C23" s="12" t="s">
        <v>30</v>
      </c>
      <c r="D23" s="72">
        <v>60000</v>
      </c>
      <c r="E23" s="72">
        <f t="shared" si="0"/>
        <v>64800.000000000007</v>
      </c>
      <c r="F23" s="74">
        <f t="shared" si="1"/>
        <v>58320.000000000007</v>
      </c>
      <c r="G23" s="74">
        <f t="shared" si="2"/>
        <v>51840</v>
      </c>
      <c r="H23" s="75">
        <f t="shared" si="3"/>
        <v>42120</v>
      </c>
    </row>
    <row r="24" spans="1:8" x14ac:dyDescent="0.25">
      <c r="A24" s="68">
        <v>27</v>
      </c>
      <c r="B24" s="59" t="s">
        <v>387</v>
      </c>
      <c r="C24" s="12" t="s">
        <v>30</v>
      </c>
      <c r="D24" s="72">
        <v>70000</v>
      </c>
      <c r="E24" s="72">
        <f t="shared" si="0"/>
        <v>75600</v>
      </c>
      <c r="F24" s="74">
        <f t="shared" si="1"/>
        <v>68040</v>
      </c>
      <c r="G24" s="74">
        <f t="shared" si="2"/>
        <v>60480.000000000007</v>
      </c>
      <c r="H24" s="75">
        <f t="shared" si="3"/>
        <v>49140</v>
      </c>
    </row>
    <row r="25" spans="1:8" x14ac:dyDescent="0.25">
      <c r="A25" s="68">
        <v>28</v>
      </c>
      <c r="B25" s="59" t="s">
        <v>388</v>
      </c>
      <c r="C25" s="12" t="s">
        <v>30</v>
      </c>
      <c r="D25" s="72">
        <v>44000</v>
      </c>
      <c r="E25" s="72">
        <f t="shared" si="0"/>
        <v>47520</v>
      </c>
      <c r="F25" s="74">
        <f t="shared" si="1"/>
        <v>42768</v>
      </c>
      <c r="G25" s="74">
        <f t="shared" si="2"/>
        <v>38016</v>
      </c>
      <c r="H25" s="75">
        <f t="shared" si="3"/>
        <v>30888.000000000004</v>
      </c>
    </row>
    <row r="26" spans="1:8" x14ac:dyDescent="0.25">
      <c r="A26" s="68">
        <v>29</v>
      </c>
      <c r="B26" s="59" t="s">
        <v>389</v>
      </c>
      <c r="C26" s="12" t="s">
        <v>30</v>
      </c>
      <c r="D26" s="72">
        <v>50000</v>
      </c>
      <c r="E26" s="72">
        <f t="shared" si="0"/>
        <v>54000</v>
      </c>
      <c r="F26" s="74">
        <f t="shared" si="1"/>
        <v>48600</v>
      </c>
      <c r="G26" s="74">
        <f t="shared" si="2"/>
        <v>43200</v>
      </c>
      <c r="H26" s="75">
        <f t="shared" si="3"/>
        <v>35100</v>
      </c>
    </row>
    <row r="27" spans="1:8" x14ac:dyDescent="0.25">
      <c r="A27" s="68">
        <v>30</v>
      </c>
      <c r="B27" s="59" t="s">
        <v>390</v>
      </c>
      <c r="C27" s="12" t="s">
        <v>30</v>
      </c>
      <c r="D27" s="72">
        <v>52000</v>
      </c>
      <c r="E27" s="72">
        <f t="shared" si="0"/>
        <v>56160.000000000007</v>
      </c>
      <c r="F27" s="74">
        <f t="shared" si="1"/>
        <v>50544</v>
      </c>
      <c r="G27" s="74">
        <f t="shared" si="2"/>
        <v>44928</v>
      </c>
      <c r="H27" s="75">
        <f t="shared" si="3"/>
        <v>36504</v>
      </c>
    </row>
    <row r="28" spans="1:8" x14ac:dyDescent="0.25">
      <c r="A28" s="68">
        <v>31</v>
      </c>
      <c r="B28" s="59" t="s">
        <v>391</v>
      </c>
      <c r="C28" s="12" t="s">
        <v>30</v>
      </c>
      <c r="D28" s="72">
        <v>58000</v>
      </c>
      <c r="E28" s="72">
        <f t="shared" si="0"/>
        <v>62640.000000000007</v>
      </c>
      <c r="F28" s="74">
        <f t="shared" si="1"/>
        <v>56376.000000000007</v>
      </c>
      <c r="G28" s="74">
        <f t="shared" si="2"/>
        <v>50112</v>
      </c>
      <c r="H28" s="75">
        <f t="shared" si="3"/>
        <v>40716</v>
      </c>
    </row>
    <row r="29" spans="1:8" ht="15.75" thickBot="1" x14ac:dyDescent="0.3">
      <c r="A29" s="69">
        <v>32</v>
      </c>
      <c r="B29" s="70" t="s">
        <v>392</v>
      </c>
      <c r="C29" s="71" t="s">
        <v>30</v>
      </c>
      <c r="D29" s="72">
        <v>64000</v>
      </c>
      <c r="E29" s="72">
        <f t="shared" si="0"/>
        <v>69120</v>
      </c>
      <c r="F29" s="74">
        <f t="shared" si="1"/>
        <v>62208.000000000007</v>
      </c>
      <c r="G29" s="74">
        <f t="shared" si="2"/>
        <v>55296</v>
      </c>
      <c r="H29" s="75">
        <f t="shared" si="3"/>
        <v>44928</v>
      </c>
    </row>
    <row r="30" spans="1:8" x14ac:dyDescent="0.25">
      <c r="D30" s="73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NLMT</vt:lpstr>
      <vt:lpstr>BỒN</vt:lpstr>
      <vt:lpstr>BỂ PHỐT - van đồng</vt:lpstr>
      <vt:lpstr>VÍT</vt:lpstr>
      <vt:lpstr>SILICON</vt:lpstr>
      <vt:lpstr>SKL</vt:lpstr>
      <vt:lpstr>Sơn xịt</vt:lpstr>
      <vt:lpstr>Que hàn</vt:lpstr>
      <vt:lpstr>CÁCH NHIỆT</vt:lpstr>
      <vt:lpstr>LẤY SÁNG</vt:lpstr>
      <vt:lpstr>SIEMENS</vt:lpstr>
      <vt:lpstr>ĐÈN ĐIỆN</vt:lpstr>
      <vt:lpstr>TMX</vt:lpstr>
      <vt:lpstr>CHỐNG THẤM</vt:lpstr>
      <vt:lpstr>LUSFIX</vt:lpstr>
      <vt:lpstr>CTOC</vt:lpstr>
      <vt:lpstr>MÁY, CCDC LUSFIX</vt:lpstr>
      <vt:lpstr>'BỂ PHỐT - van đồng'!Print_Area</vt:lpstr>
      <vt:lpstr>BỒN!Print_Area</vt:lpstr>
      <vt:lpstr>'CÁCH NHIỆT'!Print_Area</vt:lpstr>
      <vt:lpstr>'CHỐNG THẤM'!Print_Area</vt:lpstr>
      <vt:lpstr>CTOC!Print_Area</vt:lpstr>
      <vt:lpstr>'ĐÈN ĐIỆN'!Print_Area</vt:lpstr>
      <vt:lpstr>'LẤY SÁNG'!Print_Area</vt:lpstr>
      <vt:lpstr>LUSFIX!Print_Area</vt:lpstr>
      <vt:lpstr>'MÁY, CCDC LUSFIX'!Print_Area</vt:lpstr>
      <vt:lpstr>NLMT!Print_Area</vt:lpstr>
      <vt:lpstr>'Que hàn'!Print_Area</vt:lpstr>
      <vt:lpstr>SIEMENS!Print_Area</vt:lpstr>
      <vt:lpstr>SILICON!Print_Area</vt:lpstr>
      <vt:lpstr>SKL!Print_Area</vt:lpstr>
      <vt:lpstr>'Sơn xịt'!Print_Area</vt:lpstr>
      <vt:lpstr>TMX!Print_Area</vt:lpstr>
      <vt:lpstr>VÍT!Print_Area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Quốc Vinh</dc:creator>
  <cp:lastModifiedBy>Công Nguyên Nguyễn</cp:lastModifiedBy>
  <dcterms:created xsi:type="dcterms:W3CDTF">2025-11-10T02:12:02Z</dcterms:created>
  <dcterms:modified xsi:type="dcterms:W3CDTF">2026-10-18T06:14:14Z</dcterms:modified>
</cp:coreProperties>
</file>